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cp\Dev\diseqc_cntrl\hardware\kicad-project\"/>
    </mc:Choice>
  </mc:AlternateContent>
  <xr:revisionPtr revIDLastSave="0" documentId="13_ncr:9_{1992FF7A-AAF6-46A5-85EF-A799EBCC9E7D}" xr6:coauthVersionLast="47" xr6:coauthVersionMax="47" xr10:uidLastSave="{00000000-0000-0000-0000-000000000000}"/>
  <bookViews>
    <workbookView xWindow="25680" yWindow="1335" windowWidth="30075" windowHeight="20370" xr2:uid="{A1747662-5437-49E4-AD1E-7C3F454E235F}"/>
  </bookViews>
  <sheets>
    <sheet name="diseqc_cntrl_bom" sheetId="1" r:id="rId1"/>
    <sheet name="Stock" sheetId="2" r:id="rId2"/>
    <sheet name="Map" sheetId="3" r:id="rId3"/>
  </sheets>
  <calcPr calcId="0"/>
</workbook>
</file>

<file path=xl/calcChain.xml><?xml version="1.0" encoding="utf-8"?>
<calcChain xmlns="http://schemas.openxmlformats.org/spreadsheetml/2006/main">
  <c r="B35" i="2" l="1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</calcChain>
</file>

<file path=xl/sharedStrings.xml><?xml version="1.0" encoding="utf-8"?>
<sst xmlns="http://schemas.openxmlformats.org/spreadsheetml/2006/main" count="1557" uniqueCount="520">
  <si>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</si>
  <si>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</si>
  <si>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</si>
  <si>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</si>
  <si>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</si>
  <si>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</si>
  <si>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</si>
  <si>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</si>
  <si>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Mouser Part Number</t>
  </si>
  <si>
    <t>My Stock</t>
  </si>
  <si>
    <t>C1,C3,C5,C33</t>
  </si>
  <si>
    <t>10u</t>
  </si>
  <si>
    <t>Capacitor_SMD:C_0603_1608Metric_Pad1.08x0.95mm_HandSolder</t>
  </si>
  <si>
    <t>https://datasheets.kyocera-avx.com/cx5r.pdf</t>
  </si>
  <si>
    <t>581-KGM15CR51E106MT</t>
  </si>
  <si>
    <t>C2,C21,C22,C25</t>
  </si>
  <si>
    <t>2.2u</t>
  </si>
  <si>
    <t>https://www.mouser.co.uk/datasheet/3/76/1/GRM188R6YA225MA12-04A.pdf</t>
  </si>
  <si>
    <t>81-GRM188R6YA225MA2D</t>
  </si>
  <si>
    <t>C4,C7,C10</t>
  </si>
  <si>
    <t>1u</t>
  </si>
  <si>
    <t>https://pim.murata.com/asset/pim4/ceramicCapacitorSMD/GRM188R61A105KA61-01A-EN_PDF_CERAMICCAPACITORSMD</t>
  </si>
  <si>
    <t>81-GRM39R105K10</t>
  </si>
  <si>
    <t>C6</t>
  </si>
  <si>
    <t>10u 25V</t>
  </si>
  <si>
    <t>LIB_865080440002:CAPAE400X550N</t>
  </si>
  <si>
    <t>https://www.we-online.com/components/products/download/3D_WCAP-ASLI_4x5+%28rev1%29.pdf</t>
  </si>
  <si>
    <t>710-865080440002</t>
  </si>
  <si>
    <t>C8,C31</t>
  </si>
  <si>
    <t>4.7u</t>
  </si>
  <si>
    <t>https://www.mouser.com/catalog/specsheets/taiyo%20yuden_12132018_mlcc11_hq_e.pdf</t>
  </si>
  <si>
    <t>963-JMK107BJ475KAHT</t>
  </si>
  <si>
    <t>C9,C11,C12,C14,C16,C17,C19,C20,C32,C34,C36,C38,C39,C40,C41</t>
  </si>
  <si>
    <t>100n</t>
  </si>
  <si>
    <t>https://pim.murata.com/asset/pim4/ceramicCapacitorSMD/GRM188R71C104KA01-01-EN_PDF_CERAMICCAPACITORSMD</t>
  </si>
  <si>
    <t>81-GRM39X104K16</t>
  </si>
  <si>
    <t>C13</t>
  </si>
  <si>
    <t>10n</t>
  </si>
  <si>
    <t>https://www.mouser.co.uk/datasheet/3/76/2/GRM188R71H103KA01_01.pdf</t>
  </si>
  <si>
    <t>81-GRM39X103K50D</t>
  </si>
  <si>
    <t>C15,C18,C35,C37</t>
  </si>
  <si>
    <t>18p</t>
  </si>
  <si>
    <t>https://www.mouser.co.uk/datasheet/3/5926/1/C0GNP0_Dielectric.pdf</t>
  </si>
  <si>
    <t>581-06031A180CAT2A</t>
  </si>
  <si>
    <t>C23</t>
  </si>
  <si>
    <t>1n</t>
  </si>
  <si>
    <t>https://www.mouser.co.uk/datasheet/3/76/1/GRM188R71H102KA01-01.pdf</t>
  </si>
  <si>
    <t>81-GRM39X102K050</t>
  </si>
  <si>
    <t>C24,C26</t>
  </si>
  <si>
    <t>100u</t>
  </si>
  <si>
    <t>LIB_865080445010:CAPAE660X770N</t>
  </si>
  <si>
    <t>https://www.we-online.com/components/products/datasheet/865080445010.pdf</t>
  </si>
  <si>
    <t>710-865080445010</t>
  </si>
  <si>
    <t>C27</t>
  </si>
  <si>
    <t>200n</t>
  </si>
  <si>
    <t>https://www.mouser.co.uk/datasheet/3/317/1/WTC_MLCC_General_Purpose.pdf</t>
  </si>
  <si>
    <t>791-0603B204K160CT</t>
  </si>
  <si>
    <t>C28,C30</t>
  </si>
  <si>
    <t>220n</t>
  </si>
  <si>
    <t>C29</t>
  </si>
  <si>
    <t>220p C0G(NP0)</t>
  </si>
  <si>
    <t>GRM1885C2A221JA01D:CAPC1608X90N</t>
  </si>
  <si>
    <t>https://componentsearchengine.com/Datasheets/1/GRM1885C2A221JA01D.pdf</t>
  </si>
  <si>
    <t>81-GRM185C2A221JA01D</t>
  </si>
  <si>
    <t>C42</t>
  </si>
  <si>
    <t>22n</t>
  </si>
  <si>
    <t>https://www.mouser.co.uk/datasheet/3/72/1/C0603C223K4RACTU.pdf</t>
  </si>
  <si>
    <t>80-C0603C223K4R</t>
  </si>
  <si>
    <t>D1</t>
  </si>
  <si>
    <t>SS14F-HF</t>
  </si>
  <si>
    <t>LIB_SS14_HF:SODFL4626X120N</t>
  </si>
  <si>
    <t>https://www.mouser.it/datasheet/2/80/20190806172716-1729195.pdf</t>
  </si>
  <si>
    <t>750-SS14F-HF</t>
  </si>
  <si>
    <t>D2</t>
  </si>
  <si>
    <t>SMBJ24D-M3_H</t>
  </si>
  <si>
    <t>LIB_SMBJ24D-M3_H:DIOM5436X244N</t>
  </si>
  <si>
    <t>https://www.vishay.com/docs/87606/smbj5cdthrusmbj120cd.pdf</t>
  </si>
  <si>
    <t>78-SMBJ24D-M3H</t>
  </si>
  <si>
    <t>D3</t>
  </si>
  <si>
    <t>LED_Small</t>
  </si>
  <si>
    <t>LED_SMD:LED_0603_1608Metric_Pad1.05x0.95mm_HandSolder</t>
  </si>
  <si>
    <t>https://www.mouser.co.uk/datasheet/3/308/1/APG1608ZGC.pdf</t>
  </si>
  <si>
    <t>604-APG1608ZGC</t>
  </si>
  <si>
    <t>D4</t>
  </si>
  <si>
    <t>STPS130A</t>
  </si>
  <si>
    <t>STPS130A:STTH2R02AY</t>
  </si>
  <si>
    <t>https://www.st.com/resource/en/datasheet/stps130.pdf</t>
  </si>
  <si>
    <t>511-STPS130A</t>
  </si>
  <si>
    <t>D5</t>
  </si>
  <si>
    <t>US1A</t>
  </si>
  <si>
    <t>Diode_SMD:D_SMA-SMB_Universal_Handsoldering</t>
  </si>
  <si>
    <t>https://www.diodes.com/assets/Datasheets/ds16008.pdf</t>
  </si>
  <si>
    <t>637-US1A</t>
  </si>
  <si>
    <t>D6</t>
  </si>
  <si>
    <t>BAT43XV2</t>
  </si>
  <si>
    <t>LIB_BAT43XV2:SODFL1608X70N</t>
  </si>
  <si>
    <t>http://www.vishay.com/docs/85660/bat42.pdf</t>
  </si>
  <si>
    <t>512-BAT43XV2</t>
  </si>
  <si>
    <t>D7</t>
  </si>
  <si>
    <t>RCLAMP0502BATCT</t>
  </si>
  <si>
    <t>RCLAMP0502BATCT:SOT50P160X90-3N</t>
  </si>
  <si>
    <t>https://rs.componentsearchengine.com/Datasheets/1/RCLAMP0502BATCT.pdf</t>
  </si>
  <si>
    <t>947-RCLAMP0502BATCT</t>
  </si>
  <si>
    <t>F1</t>
  </si>
  <si>
    <t>1206L050_24WR</t>
  </si>
  <si>
    <t>LIB_1206L050_24WR:1206L075132WR</t>
  </si>
  <si>
    <t>https://www.littelfuse.com/~/media/electronics/datasheets/resettable_ptcs/littelfuse_ptc_1206l_datasheet.pdf.pdf</t>
  </si>
  <si>
    <t>576-1206L050/24WR</t>
  </si>
  <si>
    <t>IC1</t>
  </si>
  <si>
    <t>TPS560200DBVR</t>
  </si>
  <si>
    <t>LIB_TPS560200DBVR:SOT95P280X145-5N</t>
  </si>
  <si>
    <t>http://www.ti.com/lit/gpn/tps560200</t>
  </si>
  <si>
    <t>595-TPS560200DBVR</t>
  </si>
  <si>
    <t>IC2</t>
  </si>
  <si>
    <t>STM32F407VGT6</t>
  </si>
  <si>
    <t>STM32:QFP50P1600X1600X160-100N</t>
  </si>
  <si>
    <t>https://www.st.com/resource/en/datasheet/stm32f405zg.pdf</t>
  </si>
  <si>
    <t>511-STM32F407VGT6</t>
  </si>
  <si>
    <t>IC3</t>
  </si>
  <si>
    <t>USBLC6-2P6</t>
  </si>
  <si>
    <t>USBCL6:USBLC62P6</t>
  </si>
  <si>
    <t>https://www.st.com/resource/en/datasheet/usblc6-2.pdf</t>
  </si>
  <si>
    <t>511-USBLC6-2P6</t>
  </si>
  <si>
    <t>IC4</t>
  </si>
  <si>
    <t>FM24CL16B-GTR</t>
  </si>
  <si>
    <t>FM24CL16B-GTR:SOIC127P602X173-8N</t>
  </si>
  <si>
    <t>http://www.cypress.com/file/136491/download</t>
  </si>
  <si>
    <t>877-FM24CL16B-GTR</t>
  </si>
  <si>
    <t>IC5</t>
  </si>
  <si>
    <t>LNBH26PQR</t>
  </si>
  <si>
    <t>LNBH26PQR:QFN50P400X400X100-25N-D</t>
  </si>
  <si>
    <t>https://www.st.com/resource/en/datasheet/lnbh26.pdf</t>
  </si>
  <si>
    <t>511-LNBH26PQR</t>
  </si>
  <si>
    <t>IC6</t>
  </si>
  <si>
    <t>W5500</t>
  </si>
  <si>
    <t>W5500:QFP50P900X900X160-48N</t>
  </si>
  <si>
    <t>http://wizwiki.net/wiki/lib/exe/fetch.php?media=products:w5500:w5500_ds_v106e_141230.pdf</t>
  </si>
  <si>
    <t>950-W5500</t>
  </si>
  <si>
    <t>J1</t>
  </si>
  <si>
    <t>Barrel Jack</t>
  </si>
  <si>
    <t>LIB_RASM742TRX:RASM742TRX</t>
  </si>
  <si>
    <t>https://www.switchcraft.com/assets/1/24/rasm742trx_cd.pdf?4758</t>
  </si>
  <si>
    <t>502-RASM742TRX</t>
  </si>
  <si>
    <t>J2,J3</t>
  </si>
  <si>
    <t>Conn_01x04_Pin</t>
  </si>
  <si>
    <t>Connector_PinHeader_2.00mm:PinHeader_1x04_P2.00mm_Vertical_SMD_Pin1Left</t>
  </si>
  <si>
    <t>~</t>
  </si>
  <si>
    <t>200-TMM10501TSSM</t>
  </si>
  <si>
    <t>J4</t>
  </si>
  <si>
    <t>USB4110-GF-A</t>
  </si>
  <si>
    <t>USB4110GFA</t>
  </si>
  <si>
    <t>https://gct.co/files/drawings/usb4110.pdf</t>
  </si>
  <si>
    <t>640-USB4110-GF-A</t>
  </si>
  <si>
    <t>J5</t>
  </si>
  <si>
    <t>SWD</t>
  </si>
  <si>
    <t>HDRV10W64P254_2X5_1270X495X838P</t>
  </si>
  <si>
    <t>http://suddendocs.samtec.com/catalog_english/tsw_th.pdf</t>
  </si>
  <si>
    <t>200-TSW10523TD</t>
  </si>
  <si>
    <t>J6,J7</t>
  </si>
  <si>
    <t>SMA_Sock</t>
  </si>
  <si>
    <t>Connector_Coaxial:SMA_Molex_73251-1153_EdgeMount_Horizontal</t>
  </si>
  <si>
    <t>https://www.molex.com/en-us/products/part-detail-pdf/732511153?display=pdf</t>
  </si>
  <si>
    <t>538-73251-1153</t>
  </si>
  <si>
    <t>J8</t>
  </si>
  <si>
    <t>RJCSE538101</t>
  </si>
  <si>
    <t>https://cdn.amphenol-icc.com/media/wysiwyg/files/drawing/rjcsex38x01x.pdf</t>
  </si>
  <si>
    <t>523-RJCSE-5381-01</t>
  </si>
  <si>
    <t>L1,L4</t>
  </si>
  <si>
    <t>Inductor_SMD:L_0603_1608Metric_Pad1.05x0.95mm_HandSolder</t>
  </si>
  <si>
    <t>963-CBMF1608T100K</t>
  </si>
  <si>
    <t>L2</t>
  </si>
  <si>
    <t>33u</t>
  </si>
  <si>
    <t>LIB_74404032330:INDPM3030X150N</t>
  </si>
  <si>
    <t>https://www.we-online.com/components/products/datasheet/74404032330.pdf</t>
  </si>
  <si>
    <t>710-74404032330</t>
  </si>
  <si>
    <t>L3</t>
  </si>
  <si>
    <t>39n</t>
  </si>
  <si>
    <t>https://www.mouser.co.uk/datasheet/3/184/1/AISC_0603HP.pdf</t>
  </si>
  <si>
    <t>815-AISC0603HP-43NJT</t>
  </si>
  <si>
    <t>L5</t>
  </si>
  <si>
    <t>0603DC-27NXJRW</t>
  </si>
  <si>
    <t>0603DC-27NXJRW:0603DC27NXJRW</t>
  </si>
  <si>
    <t>https://www.coilcraft.com/getmedia/f3d98f97-cbe2-41fa-b3a9-518f674e881e/0603dc.pdf</t>
  </si>
  <si>
    <t>994-0603DC-27NXJRW</t>
  </si>
  <si>
    <t>NT1,NT2</t>
  </si>
  <si>
    <t>NetTie_2</t>
  </si>
  <si>
    <t>Excluded from BOM</t>
  </si>
  <si>
    <t>NetTie:NetTie-2_SMD_Pad2.0mm</t>
  </si>
  <si>
    <t>PS1</t>
  </si>
  <si>
    <t>TPS560430X3FDBVT</t>
  </si>
  <si>
    <t>SOT95P280X145-6N</t>
  </si>
  <si>
    <t>https://www.ti.com/lit/ds/symlink/tps560430.pdf</t>
  </si>
  <si>
    <t>595-TPS560430X3FDBVT</t>
  </si>
  <si>
    <t>R1,R16</t>
  </si>
  <si>
    <t>100k</t>
  </si>
  <si>
    <t>Resistor_SMD:R_0603_1608Metric_Pad0.98x0.95mm_HandSolder</t>
  </si>
  <si>
    <t>https://www.mouser.com/catalog/specsheets/YAGEO_PYu_RC_Group_51_RoHS_L_12.pdf</t>
  </si>
  <si>
    <t>603-RC0603JR-07100KL</t>
  </si>
  <si>
    <t>R2</t>
  </si>
  <si>
    <t>61k9 1%</t>
  </si>
  <si>
    <t>https://www.mouser.com/catalog/specsheets/YAGEO_PYu_RC_Group_51_RoHS_L_12.pdf?_gl=1*1qp9l20*_gcl_au*MTI3NDQ0Mzk2NC4xNzY2NDEzNTk1LjIwMzY5MzAxODkuMTc3MDA1MDY4MS4xNzcwMDU3NTMx*_ga*MTk2NjYzNzAxOS4xNzU4NjIyMzM4*_ga_15W4STQT4T*czE3NzAwNTA2ODAkbzI0JGcxJHQxNzcwMDU3NTQwJGozNCRsMCRoMA..</t>
  </si>
  <si>
    <t>603-RC0603FR-0761K9L</t>
  </si>
  <si>
    <t>R3</t>
  </si>
  <si>
    <t>20k 1%</t>
  </si>
  <si>
    <t>603-RC0603FR-1320KL</t>
  </si>
  <si>
    <t>R4</t>
  </si>
  <si>
    <t>243k 1%</t>
  </si>
  <si>
    <t>https://www.mouser.com/catalog/specsheets/YAGEO_PYu_RC_Group_51_RoHS_L_12.pdf?_gl=1*1ninmyl*_gcl_au*MTI3NDQ0Mzk2NC4xNzY2NDEzNTk1LjIwMzY5MzAxODkuMTc3MDA1MDY4MS4xNzcwMDU2OTY5*_ga*MTk2NjYzNzAxOS4xNzU4NjIyMzM4*_ga_15W4STQT4T*czE3NzAwNTA2ODAkbzI0JGcxJHQxNzcwMDU2OTgzJGoyNyRsMCRoMA..</t>
  </si>
  <si>
    <t>603-RC0603FR-07243KL</t>
  </si>
  <si>
    <t>R5</t>
  </si>
  <si>
    <t>22k1 1%</t>
  </si>
  <si>
    <t>https://www.mouser.co.uk/datasheet/3/508/1/PYu-RC_Group_51_RoHS_L_12.pdf</t>
  </si>
  <si>
    <t>603-RC0603FR-1322K1L</t>
  </si>
  <si>
    <t>R6,R13,R17,R19</t>
  </si>
  <si>
    <t>10k</t>
  </si>
  <si>
    <t>603-RC0603DR-0710KL</t>
  </si>
  <si>
    <t>R7,R8,R12,R20</t>
  </si>
  <si>
    <t>4k7</t>
  </si>
  <si>
    <t>https://www.mouser.co.uk/datasheet/3/508/1/PYU_AC_51_ROHS_L.pdf</t>
  </si>
  <si>
    <t>603-AC0603FR-074K7L</t>
  </si>
  <si>
    <t>R9,R10</t>
  </si>
  <si>
    <t>2k7</t>
  </si>
  <si>
    <t>https://www.mouser.co.uk/datasheet/3/508/1/PYu-AR_51_RoHS_L_7.pdf</t>
  </si>
  <si>
    <t>603-AR0603JR-072K7L</t>
  </si>
  <si>
    <t>R11</t>
  </si>
  <si>
    <t>1k5</t>
  </si>
  <si>
    <t>603-AC0603JR-071K5L</t>
  </si>
  <si>
    <t>R14,R15</t>
  </si>
  <si>
    <t>5k1</t>
  </si>
  <si>
    <t>https://www.mouser.co.uk/datasheet/3/508/1/pyu-rc_51_rohs_p.pdf</t>
  </si>
  <si>
    <t>603-RC0603FR-075K1P</t>
  </si>
  <si>
    <t>R18</t>
  </si>
  <si>
    <t>12k4 1%</t>
  </si>
  <si>
    <t>603-AC0603FR-0712K4L</t>
  </si>
  <si>
    <t>R21</t>
  </si>
  <si>
    <t>1M</t>
  </si>
  <si>
    <t>603-RC0603JR-131ML</t>
  </si>
  <si>
    <t>R22</t>
  </si>
  <si>
    <t>https://www.mouser.com/catalog/specsheets/Yageo_06282023_ACseries.pdf?_gl=1*sklq6b*_gcl_au*MTI3NDQ0Mzk2NC4xNzY2NDEzNTk1LjIwMzY5MzAxODkuMTc3MDA1MDY4MS4xNzcwMDU4MDc5*_ga*MTk2NjYzNzAxOS4xNzU4NjIyMzM4*_ga_15W4STQT4T*czE3NzAwNTA2ODAkbzI0JGcxJHQxNzcwMDU4MDk1JGoyNiRsMCRoMA..</t>
  </si>
  <si>
    <t>603-AC0603JR-130RL</t>
  </si>
  <si>
    <t>R23,R24,R25,R26</t>
  </si>
  <si>
    <t>33r</t>
  </si>
  <si>
    <t>https://www.te.com/commerce/DocumentDelivery/DDEController?Action=srchrtrv&amp;DocNm=1622922&amp;DocType=Customer+Drawing&amp;DocLang=English&amp;PartCntxt=1622922-1</t>
  </si>
  <si>
    <t>279-CRG0603F33R</t>
  </si>
  <si>
    <t>R27,R28</t>
  </si>
  <si>
    <t>49r9 1%</t>
  </si>
  <si>
    <t>https://www.mouser.co.uk/datasheet/3/508/1/PYu-AF_51_RoHS_L_9.pdf</t>
  </si>
  <si>
    <t>603-AF0603FR-0749R9L</t>
  </si>
  <si>
    <t>R29,R30</t>
  </si>
  <si>
    <t>470r</t>
  </si>
  <si>
    <t>https://www.mouser.co.uk/datasheet/3/508/1/PYu-AC_51_RoHS_L_11.pdf</t>
  </si>
  <si>
    <t>603-AC0603FR-13470RL</t>
  </si>
  <si>
    <t>S1</t>
  </si>
  <si>
    <t>PCM12SMTBR</t>
  </si>
  <si>
    <t>https://www.ckswitches.com/media/1424/pcm.pdf</t>
  </si>
  <si>
    <t>611-PCM12SMTBR</t>
  </si>
  <si>
    <t>T1</t>
  </si>
  <si>
    <t>H1102NL</t>
  </si>
  <si>
    <t>H1102NL:SOIC127P940X597-16N</t>
  </si>
  <si>
    <t>https://productfinder.pulseeng.com/products/datasheets/h1102nl.pdf</t>
  </si>
  <si>
    <t>673-H1102NL</t>
  </si>
  <si>
    <t>Y1</t>
  </si>
  <si>
    <t>8MHZ</t>
  </si>
  <si>
    <t>ABLS 8mhz xtal:ABLS8000MHz20B3HT</t>
  </si>
  <si>
    <t>https://abracon.com/Resonators/abls.pdf</t>
  </si>
  <si>
    <t>815-LS8000MHZ20B3HT</t>
  </si>
  <si>
    <t>Y2</t>
  </si>
  <si>
    <t>25MHZ</t>
  </si>
  <si>
    <t>ABLS 25mhz xtal:ABLS25000MHZDFT</t>
  </si>
  <si>
    <t>815-ABLS25.MHZDFT</t>
  </si>
  <si>
    <t>Bag ID</t>
  </si>
  <si>
    <t>Alternative</t>
  </si>
  <si>
    <t>GRM188R71C104KA01D</t>
  </si>
  <si>
    <t>Binder</t>
  </si>
  <si>
    <t>Notes</t>
  </si>
  <si>
    <t>GRM188R71H103KA01D</t>
  </si>
  <si>
    <t>GRM188R71H102KA01D</t>
  </si>
  <si>
    <t>Alt Stock</t>
  </si>
  <si>
    <t>RC0603 JR-07 1K5</t>
  </si>
  <si>
    <t>Alt stock in binder</t>
  </si>
  <si>
    <t>RC0603 JR-07 1M</t>
  </si>
  <si>
    <t>RC0603 JR-07 100K</t>
  </si>
  <si>
    <t>RC0603 JR-07 5K1</t>
  </si>
  <si>
    <t>RC0603 JR-07 0R</t>
  </si>
  <si>
    <t>RC0603 JR-07 10K</t>
  </si>
  <si>
    <t>RC0603 JR-07 330R</t>
  </si>
  <si>
    <t>RC0603 JR-07 2K7</t>
  </si>
  <si>
    <t>Manufacturer Part Number</t>
  </si>
  <si>
    <t>Bin/Bag</t>
  </si>
  <si>
    <t>Stock</t>
  </si>
  <si>
    <t>Sales Order No:</t>
  </si>
  <si>
    <t>Web Order No:</t>
  </si>
  <si>
    <t>PO Number:</t>
  </si>
  <si>
    <t>Line No.</t>
  </si>
  <si>
    <t>Order Date:</t>
  </si>
  <si>
    <t>Order Status:</t>
  </si>
  <si>
    <t>Mouser No:</t>
  </si>
  <si>
    <t>Mfr. No:</t>
  </si>
  <si>
    <t>Desc.:</t>
  </si>
  <si>
    <t>Customer No</t>
  </si>
  <si>
    <t>Order Qty.</t>
  </si>
  <si>
    <t>Ext. (GBP)</t>
  </si>
  <si>
    <t>Price (GBP)</t>
  </si>
  <si>
    <t>Status</t>
  </si>
  <si>
    <t>Date</t>
  </si>
  <si>
    <t>Invoice No.</t>
  </si>
  <si>
    <t>Tariff: Price (GBP)</t>
  </si>
  <si>
    <t>Tariff: Ext. (GBP)</t>
  </si>
  <si>
    <t>278656763</t>
  </si>
  <si>
    <t>38215913</t>
  </si>
  <si>
    <t>1</t>
  </si>
  <si>
    <t>08-Feb-26</t>
  </si>
  <si>
    <t>Complete</t>
  </si>
  <si>
    <t>511-L7805CV</t>
  </si>
  <si>
    <t>L7805CV</t>
  </si>
  <si>
    <t>Linear Voltage Regulators Linear Voltage Regulators 5.0V 1.5A Positive</t>
  </si>
  <si>
    <t/>
  </si>
  <si>
    <t>8</t>
  </si>
  <si>
    <t>£0.375</t>
  </si>
  <si>
    <t>8 Shipped</t>
  </si>
  <si>
    <t>09-Feb-26</t>
  </si>
  <si>
    <t>88693173</t>
  </si>
  <si>
    <t>2</t>
  </si>
  <si>
    <t>KGM15CR51E106MT</t>
  </si>
  <si>
    <t>Multilayer Ceramic Capacitors MLCC - SMD/SMT Multilayer Ceramic Capacitors MLCC - SMD/SMT 25V 10uF X5R 0603 20 %</t>
  </si>
  <si>
    <t>20</t>
  </si>
  <si>
    <t>£0.227</t>
  </si>
  <si>
    <t>20 Shipped</t>
  </si>
  <si>
    <t>3</t>
  </si>
  <si>
    <t>GRM188R6YA225MA12D</t>
  </si>
  <si>
    <t>Multilayer Ceramic Capacitors MLCC - SMD/SMT Multilayer Ceramic Capacitors MLCC - SMD/SMT 2.2 uF 35 VDC 20% 0603 X5R</t>
  </si>
  <si>
    <t>£0.029</t>
  </si>
  <si>
    <t>4</t>
  </si>
  <si>
    <t>GRM188R61A105KA61D</t>
  </si>
  <si>
    <t>Multilayer Ceramic Capacitors MLCC - SMD/SMT Multilayer Ceramic Capacitors MLCC - SMD/SMT 1 uF 10 VDC 10% 0603 X5R</t>
  </si>
  <si>
    <t>15</t>
  </si>
  <si>
    <t>£0.036</t>
  </si>
  <si>
    <t>15 Shipped</t>
  </si>
  <si>
    <t>5</t>
  </si>
  <si>
    <t>865080440002</t>
  </si>
  <si>
    <t>Aluminium Electrolytic Capacitors - SMD Aluminium Electrolytic Capacitors - SMD WCAP-ASLI 10uF 25V 20% SMD/SMT</t>
  </si>
  <si>
    <t>£0.142</t>
  </si>
  <si>
    <t>5 Shipped</t>
  </si>
  <si>
    <t>6</t>
  </si>
  <si>
    <t>JMK107BJ475KAHT</t>
  </si>
  <si>
    <t>Multilayer Ceramic Capacitors MLCC - SMD/SMT Multilayer Ceramic Capacitors MLCC - SMD/SMT 963-MCASJ168SB5475KT RPLCMT PN 6.3V 4.7uF X5R 0603 AEC-Q200</t>
  </si>
  <si>
    <t>10</t>
  </si>
  <si>
    <t>£0.035</t>
  </si>
  <si>
    <t>10 Shipped</t>
  </si>
  <si>
    <t>7</t>
  </si>
  <si>
    <t>06031A180CAT2A</t>
  </si>
  <si>
    <t>Multilayer Ceramic Capacitors MLCC - SMD/SMT Multilayer Ceramic Capacitors MLCC - SMD/SMT 100V 18pF C0G 0603 0 .25pF</t>
  </si>
  <si>
    <t>£0.217</t>
  </si>
  <si>
    <t>865080445010</t>
  </si>
  <si>
    <t>Aluminium Electrolytic Capacitors - SMD Aluminium Electrolytic Capacitors - SMD WCAP-ASLI 100uF 25V 20% SMD/SMT</t>
  </si>
  <si>
    <t>£0.248</t>
  </si>
  <si>
    <t>9</t>
  </si>
  <si>
    <t>0603B204K160CT</t>
  </si>
  <si>
    <t>Multilayer Ceramic Capacitors MLCC - SMD/SMT Multilayer Ceramic Capacitors MLCC - SMD/SMT 0603 MLCC X7R 0.2 uF, +/- 10% 16 V T&amp;R GP</t>
  </si>
  <si>
    <t>£0.052</t>
  </si>
  <si>
    <t>GRM1885C2A221JA01D</t>
  </si>
  <si>
    <t>Multilayer Ceramic Capacitors MLCC - SMD/SMT Multilayer Ceramic Capacitors MLCC - SMD/SMT 220 pF 100 VDC 5% 0603 C0G (NP0)</t>
  </si>
  <si>
    <t>£0.098</t>
  </si>
  <si>
    <t>11</t>
  </si>
  <si>
    <t>C0603C223K4RACTU</t>
  </si>
  <si>
    <t>Multilayer Ceramic Capacitors MLCC - SMD/SMT Multilayer Ceramic Capacitors MLCC - SMD/SMT 16V 0.022uF X7R 0603 10%</t>
  </si>
  <si>
    <t>£0.075</t>
  </si>
  <si>
    <t>12</t>
  </si>
  <si>
    <t>Schottky Diodes &amp; Rectifiers Schottky Diodes &amp; Rectifiers DIODE SCHOTTKY 1A 40V SMAF</t>
  </si>
  <si>
    <t>£0.165</t>
  </si>
  <si>
    <t>13</t>
  </si>
  <si>
    <t>SMBJ24D-M3/H</t>
  </si>
  <si>
    <t>ESD Protection Diodes / TVS Diodes ESD Protection Diodes / TVS Diodes 24V 600W UniDir TransZorb 3.5% Tol</t>
  </si>
  <si>
    <t>£0.315</t>
  </si>
  <si>
    <t>14</t>
  </si>
  <si>
    <t>APG1608ZGC</t>
  </si>
  <si>
    <t>Single Colour LEDs Single Colour LEDs Green, Water Clear 420mcd, 525nm</t>
  </si>
  <si>
    <t>£0.436</t>
  </si>
  <si>
    <t>Schottky Diodes &amp; Rectifiers Schottky Diodes &amp; Rectifiers 1.0 Amp 30 Volt</t>
  </si>
  <si>
    <t>£0.173</t>
  </si>
  <si>
    <t>16</t>
  </si>
  <si>
    <t>Rectifiers Rectifiers Ultrafast, SMA, 50V, 1A, 150C</t>
  </si>
  <si>
    <t>£0.21</t>
  </si>
  <si>
    <t>17</t>
  </si>
  <si>
    <t>Schottky Diodes &amp; Rectifiers Schottky Diodes &amp; Rectifiers Schottky Barrier Diode</t>
  </si>
  <si>
    <t>£0.113</t>
  </si>
  <si>
    <t>18</t>
  </si>
  <si>
    <t>ESD Protection Diodes / TVS Diodes ESD Protection Diodes / TVS Diodes Low Capacitance ESD &amp; CDE Protection</t>
  </si>
  <si>
    <t>£0.736</t>
  </si>
  <si>
    <t>19</t>
  </si>
  <si>
    <t>1206L050/24WR</t>
  </si>
  <si>
    <t>Resettable Fuses - PPTC Resettable Fuses - PPTC 24V    500MA-HD  100A  MAX</t>
  </si>
  <si>
    <t>£1.23</t>
  </si>
  <si>
    <t>Switching Voltage Regulators Switching Voltage Regulators 4.5-17V Input 500mA Sync Buck Cnvtr A 59 A 595-TPS560200DBVT</t>
  </si>
  <si>
    <t>£0.511</t>
  </si>
  <si>
    <t>21</t>
  </si>
  <si>
    <t>ARM Microcontrollers - MCU ARM Microcontrollers - MCU ARM M4 1024 FLASH 168 Mhz 192kB SRAM</t>
  </si>
  <si>
    <t>£8.21</t>
  </si>
  <si>
    <t>22</t>
  </si>
  <si>
    <t>ESD Protection Diodes / TVS Diodes ESD Protection Diodes / TVS Diodes High Speed Interface Protection Low Cap</t>
  </si>
  <si>
    <t>£0.33</t>
  </si>
  <si>
    <t>23</t>
  </si>
  <si>
    <t>F-RAM F-RAM 16Kb Serial I2C 3V FRAM</t>
  </si>
  <si>
    <t>£1.22</t>
  </si>
  <si>
    <t>24</t>
  </si>
  <si>
    <t>Linear Voltage Regulators Linear Voltage Regulators Dual LNB Supply 12V High EFF 22kHz I2C</t>
  </si>
  <si>
    <t>£2.43</t>
  </si>
  <si>
    <t>25</t>
  </si>
  <si>
    <t>Ethernet ICs Ethernet ICs 3in1 Enet Controller TCP/IP +MAC+PHY</t>
  </si>
  <si>
    <t>£2.76</t>
  </si>
  <si>
    <t>26</t>
  </si>
  <si>
    <t>RASM742TRX</t>
  </si>
  <si>
    <t>DC Power Connectors DC Power Connectors R/A SMT DC JACK 1MM</t>
  </si>
  <si>
    <t>£1.37</t>
  </si>
  <si>
    <t>27</t>
  </si>
  <si>
    <t>TMM-105-01-T-S-SM</t>
  </si>
  <si>
    <t>Headers &amp; Wire Housings Headers &amp; Wire Housings Low Profile Tiger Eye Header Strips</t>
  </si>
  <si>
    <t>£0.548</t>
  </si>
  <si>
    <t>28</t>
  </si>
  <si>
    <t>USB Connectors USB Connectors USB Type C, 2.0,  Rec, SMT , G/F, RA , Top Mnt, T &amp; R</t>
  </si>
  <si>
    <t>£0.882</t>
  </si>
  <si>
    <t>29</t>
  </si>
  <si>
    <t>TSW-105-23-T-D</t>
  </si>
  <si>
    <t>Headers &amp; Wire Housings Headers &amp; Wire Housings Classic PCB Header Strips</t>
  </si>
  <si>
    <t>£0.48</t>
  </si>
  <si>
    <t>30</t>
  </si>
  <si>
    <t>73251-1153</t>
  </si>
  <si>
    <t>RF Connectors / Coaxial Connectors RF Connectors / Coaxial Connectors 50 Ohms SMA Jack Receptacle Edge Mount .12  m Gol</t>
  </si>
  <si>
    <t>£2.46</t>
  </si>
  <si>
    <t>31</t>
  </si>
  <si>
    <t>RJCSE-5381-01</t>
  </si>
  <si>
    <t>Modular Connectors / Ethernet Connectors Modular Connectors / Ethernet Connectors RJ45;8 contacts;sh RA TH;SMT w/LEDs</t>
  </si>
  <si>
    <t>£1.73</t>
  </si>
  <si>
    <t>32</t>
  </si>
  <si>
    <t>CBMF1608T100K</t>
  </si>
  <si>
    <t>Power Inductors - SMD Power Inductors - SMD 963-LSQNB160808T100K RPLCMT PN 0603 10uH 468mOhms 10% 115mA</t>
  </si>
  <si>
    <t>£0.099</t>
  </si>
  <si>
    <t>33</t>
  </si>
  <si>
    <t>74404032330</t>
  </si>
  <si>
    <t>Power Inductors - SMD Power Inductors - SMD WE-LQS 33uH 500mA DCR=911mOhms AEC-Q200</t>
  </si>
  <si>
    <t>£0.871</t>
  </si>
  <si>
    <t>34</t>
  </si>
  <si>
    <t>AISC-0603HP-43NJ-T</t>
  </si>
  <si>
    <t>Power Inductors - SMD Power Inductors - SMD 43   NH   5%</t>
  </si>
  <si>
    <t>£0.233</t>
  </si>
  <si>
    <t>35</t>
  </si>
  <si>
    <t>RF Inductors - SMD RF Inductors - SMD 0603 27nH 830mA 5% DCR=.116OhmsAEC-Q200</t>
  </si>
  <si>
    <t>£0.788</t>
  </si>
  <si>
    <t>36</t>
  </si>
  <si>
    <t>Switching Voltage Regulators Switching Voltage Regulators SIMPLE SWITCHER 36- V 600-mA Buck Regul A 595-TPS560430X3FDBVR</t>
  </si>
  <si>
    <t>£1.19</t>
  </si>
  <si>
    <t>37</t>
  </si>
  <si>
    <t>RC0603JR-07100KL</t>
  </si>
  <si>
    <t>Thick Film Resistors - SMD Thick Film Resistors - SMD General Purpose Chip Resistor 0603, 100kOhms, 5%, 1/10W</t>
  </si>
  <si>
    <t>£0.003</t>
  </si>
  <si>
    <t>38</t>
  </si>
  <si>
    <t>RC0603FR-0761K9L</t>
  </si>
  <si>
    <t>Thick Film Resistors - SMD Thick Film Resistors - SMD General Purpose Chip Resistor 0603, 61.9kOhms, 1%, 1/10W</t>
  </si>
  <si>
    <t>39</t>
  </si>
  <si>
    <t>RC0603FR-1320KL</t>
  </si>
  <si>
    <t>Thick Film Resistors - SMD Thick Film Resistors - SMD General Purpose Chip Resistor 0603, 20kOhms, 1%, 1/10W</t>
  </si>
  <si>
    <t>40</t>
  </si>
  <si>
    <t>RC0603FR-07243KL</t>
  </si>
  <si>
    <t>Thick Film Resistors - SMD Thick Film Resistors - SMD General Purpose Chip Resistor 0603, 243kOhms, 1%, 1/10W</t>
  </si>
  <si>
    <t>41</t>
  </si>
  <si>
    <t>RC0603FR-1322K1L</t>
  </si>
  <si>
    <t>Thick Film Resistors - SMD Thick Film Resistors - SMD General Purpose Chip Resistor 0603, 22.1kOhms, 1%, 1/10W</t>
  </si>
  <si>
    <t>42</t>
  </si>
  <si>
    <t>RC0603DR-0710KL</t>
  </si>
  <si>
    <t>Thick Film Resistors - SMD Thick Film Resistors - SMD General Purpose Chip Resistor 0603, 10kOhms, 0.5%, 1/10W</t>
  </si>
  <si>
    <t>£0.017</t>
  </si>
  <si>
    <t>43</t>
  </si>
  <si>
    <t>AC0603FR-074K7L</t>
  </si>
  <si>
    <t>Thick Film Resistors - SMD Thick Film Resistors - SMD 4.7 kOhms 1/10 W 75 V 1% 0603 100 PPM / C - 55 C / + 155 C AEC-Q200</t>
  </si>
  <si>
    <t>£0.008</t>
  </si>
  <si>
    <t>44</t>
  </si>
  <si>
    <t>AR0603JR-072K7L</t>
  </si>
  <si>
    <t>Thick Film Resistors - SMD Thick Film Resistors - SMD 2.7kOhms 1/10W 0603  5% AEC-Q200</t>
  </si>
  <si>
    <t>£0.067</t>
  </si>
  <si>
    <t>45</t>
  </si>
  <si>
    <t>AC0603JR-071K5L</t>
  </si>
  <si>
    <t>Thick Film Resistors - SMD Thick Film Resistors - SMD 1.5 kOhms 1/10 W 75 V 5% 0603 100 PPM / C - 55 C / + 155 C AEC-Q200</t>
  </si>
  <si>
    <t>46</t>
  </si>
  <si>
    <t>RC0603FR-075K1P</t>
  </si>
  <si>
    <t>Thick Film Resistors - SMD Thick Film Resistors - SMD General Purpose Chip Resistor 0603, 5.1kOhms, 1%, 1/10W</t>
  </si>
  <si>
    <t>47</t>
  </si>
  <si>
    <t>AC0603FR-0712K4L</t>
  </si>
  <si>
    <t>Thick Film Resistors - SMD Thick Film Resistors - SMD 12.4 kOhms 1/10 W 75 V 1 % 0603 100 PPM / C - 55 C / + 155 C AEC-Q200</t>
  </si>
  <si>
    <t>48</t>
  </si>
  <si>
    <t>RC0603JR-131ML</t>
  </si>
  <si>
    <t>Thick Film Resistors - SMD Thick Film Resistors - SMD General Purpose Chip Resistor 0603, 1MOhms, 5%, 1/10W</t>
  </si>
  <si>
    <t>£0.083</t>
  </si>
  <si>
    <t>49</t>
  </si>
  <si>
    <t>AC0603JR-130RL</t>
  </si>
  <si>
    <t>Thick Film Resistors - SMD Thick Film Resistors - SMD 0 Ohms 1/10 W 75 V 5% 0603  - 55 C / + 155 C AEC-Q200</t>
  </si>
  <si>
    <t>50</t>
  </si>
  <si>
    <t>CRG0603F33R</t>
  </si>
  <si>
    <t>Thick Film Resistors - SMD Thick Film Resistors - SMD 33Ohms 1/10W 50V</t>
  </si>
  <si>
    <t>£0.013</t>
  </si>
  <si>
    <t>51</t>
  </si>
  <si>
    <t>AF0603FR-0749R9L</t>
  </si>
  <si>
    <t>Thick Film Resistors - SMD Thick Film Resistors - SMD 49.9Ohms 1/10W 0603  1% AEC-Q200</t>
  </si>
  <si>
    <t>£0.01</t>
  </si>
  <si>
    <t>52</t>
  </si>
  <si>
    <t>AC0603FR-13470RL</t>
  </si>
  <si>
    <t>Thick Film Resistors - SMD Thick Film Resistors - SMD 470 Ohms 1/10 W 75 V 1% 0603 100 PPM / C - 55 C / + 155 C AEC-Q200</t>
  </si>
  <si>
    <t>£0.004</t>
  </si>
  <si>
    <t>53</t>
  </si>
  <si>
    <t>Slide Switches Slide Switches SWITCH SLIDE</t>
  </si>
  <si>
    <t>£0.96</t>
  </si>
  <si>
    <t>54</t>
  </si>
  <si>
    <t>Audio Transformers / Signal Transformers Audio Transformers / Signal Transformers 100BaseTX SMD NonPoE 350uH .65Ohms 1-Por</t>
  </si>
  <si>
    <t>£3.30</t>
  </si>
  <si>
    <t>55</t>
  </si>
  <si>
    <t>ABLS-8.000MHZ-20-B-3-H-T</t>
  </si>
  <si>
    <t>Crystals Crystals 8.0   MHZ</t>
  </si>
  <si>
    <t>£0.188</t>
  </si>
  <si>
    <t>56</t>
  </si>
  <si>
    <t>ABLS-25.000MHZ-D-FT</t>
  </si>
  <si>
    <t>Crystals Crystals 25.0   MHZ 18PF  50PPM 40 OHMS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</si>
</sst>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F5CB6-6AD1-4CBE-B649-94B939CDE5F0}" name="Table1" displayName="Table1" ref="A1:N61" totalsRowShown="0">
  <autoFilter ref="A1:N61" xr:uid="{680F5CB6-6AD1-4CBE-B649-94B939CDE5F0}"/>
  <tableColumns count="14">
    <tableColumn id="1" xr3:uid="{CC8D141C-3434-445C-89D2-289D3F2331E5}" name="Reference"/>
    <tableColumn id="2" xr3:uid="{B9106EB1-8B18-4FC5-B8BF-D5C5A4989B87}" name="Qty"/>
    <tableColumn id="3" xr3:uid="{CA1528EE-F0AE-4F0A-8669-DE887F87C1CB}" name="Value"/>
    <tableColumn id="4" xr3:uid="{9A6B24DE-C0F3-4EA8-89B8-0161993425EC}" name="DNP"/>
    <tableColumn id="5" xr3:uid="{F9D05498-ECBB-4742-9067-F2B3587F9D9E}" name="Exclude from BOM"/>
    <tableColumn id="6" xr3:uid="{27443BCC-1F2A-4062-9E49-24258E642B8E}" name="Exclude from Board"/>
    <tableColumn id="7" xr3:uid="{B543EAA1-85E0-4A9E-9AA6-D47C9B466694}" name="Footprint"/>
    <tableColumn id="8" xr3:uid="{B35730AA-694A-4F87-9833-80090FAC2D8D}" name="Datasheet"/>
    <tableColumn id="9" xr3:uid="{B2BC6DBA-8FCB-4CC4-A003-820C1260E09A}" name="Mouser Part Number"/>
    <tableColumn id="10" xr3:uid="{6D5F4ED4-1EC2-4BDF-A7C4-F585D9814F6A}" name="My Stock"/>
    <tableColumn id="11" xr3:uid="{4491CCAB-828D-4E27-A065-053FBD84A2D4}" name="Bag ID"/>
    <tableColumn id="12" xr3:uid="{D24E009F-3A67-4EED-B417-EF334419C448}" name="Alternative"/>
    <tableColumn id="14" xr3:uid="{4E7E40DD-4C7B-4056-BBE6-3B00A55EB387}" name="Alt Stock"/>
    <tableColumn id="13" xr3:uid="{4EB77725-DEB4-414E-886D-8C5F4CF640AE}" name="Note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60694F-3F63-44C5-BEBB-3D6190CAB344}" name="Table2" displayName="Table2" ref="A1:I1048563" totalsRowShown="0">
  <autoFilter ref="A1:I1048563" xr:uid="{CD60694F-3F63-44C5-BEBB-3D6190CAB344}"/>
  <tableColumns count="9">
    <tableColumn id="1" xr3:uid="{AE0D8EA6-2D07-40FF-A37B-87F16E3276F8}" name="Mouser Part Number"/>
    <tableColumn id="2" xr3:uid="{E5841880-8A52-46E1-A17A-FA841E562EAE}" name="Manufacturer Part Number"/>
    <tableColumn id="3" xr3:uid="{97618DD4-85B1-438B-A2D5-2DA151CEE712}" name="Value"/>
    <tableColumn id="4" xr3:uid="{7714D8C9-4D68-47BC-9A16-A6375F11A2D3}" name="DNP"/>
    <tableColumn id="5" xr3:uid="{2ACD95CB-831F-4982-9203-7240BB462CC8}" name="Exclude from BOM"/>
    <tableColumn id="6" xr3:uid="{8F0EDF4A-FE01-4DA6-AB8B-7D4BD92E8F6F}" name="Exclude from Board"/>
    <tableColumn id="7" xr3:uid="{A3DBBBCC-1BDD-4A01-941A-36A8EB4EACF1}" name="Datasheet"/>
    <tableColumn id="8" xr3:uid="{292BD42B-B60E-4534-A86B-C9E5C93B0D3A}" name="Stock"/>
    <tableColumn id="9" xr3:uid="{CA3C1F7F-8D8F-4F14-A473-F5BD9E6E9F53}" name="Bin/Ba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C87D-97AE-477C-B40C-BFFE205462B7}">
  <sheetPr>
    <pageSetUpPr fitToPage="1"/>
  </sheetPr>
  <dimension ref="A1:N61"/>
  <sheetViews>
    <sheetView tabSelected="1" workbookViewId="0">
      <selection activeCell="N43" sqref="N43"/>
    </sheetView>
  </sheetViews>
  <sheetFormatPr defaultRowHeight="15" x14ac:dyDescent="0.25"/>
  <cols>
    <col min="1" max="1" width="56.7109375" bestFit="1" customWidth="1"/>
    <col min="3" max="3" width="18.140625" bestFit="1" customWidth="1"/>
    <col min="4" max="4" width="7" hidden="1" customWidth="1"/>
    <col min="5" max="5" width="19" hidden="1" customWidth="1"/>
    <col min="6" max="6" width="20.140625" hidden="1" customWidth="1"/>
    <col min="7" max="7" width="73.42578125" bestFit="1" customWidth="1"/>
    <col min="8" max="8" width="255.7109375" hidden="1" customWidth="1"/>
    <col min="9" max="9" width="23.42578125" bestFit="1" customWidth="1"/>
    <col min="10" max="10" width="10.7109375" customWidth="1"/>
    <col min="12" max="12" width="21.140625" bestFit="1" customWidth="1"/>
    <col min="13" max="13" width="21.140625" customWidth="1"/>
    <col min="14" max="14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270</v>
      </c>
      <c r="L1" t="s">
        <v>271</v>
      </c>
      <c r="M1" t="s">
        <v>277</v>
      </c>
      <c r="N1" t="s">
        <v>274</v>
      </c>
    </row>
    <row r="2" spans="1:14" x14ac:dyDescent="0.25">
      <c r="A2" t="s">
        <v>10</v>
      </c>
      <c r="B2">
        <v>4</v>
      </c>
      <c r="C2" t="s">
        <v>11</v>
      </c>
      <c r="G2" t="s">
        <v>12</v>
      </c>
      <c r="H2" t="s">
        <v>13</v>
      </c>
      <c r="I2" t="s">
        <v>14</v>
      </c>
      <c r="J2">
        <v>20</v>
      </c>
      <c r="K2">
        <v>1</v>
      </c>
    </row>
    <row r="3" spans="1:14" x14ac:dyDescent="0.25">
      <c r="A3" t="s">
        <v>15</v>
      </c>
      <c r="B3">
        <v>4</v>
      </c>
      <c r="C3" t="s">
        <v>16</v>
      </c>
      <c r="G3" t="s">
        <v>12</v>
      </c>
      <c r="H3" t="s">
        <v>17</v>
      </c>
      <c r="I3" t="s">
        <v>18</v>
      </c>
      <c r="J3">
        <v>20</v>
      </c>
      <c r="K3">
        <v>2</v>
      </c>
    </row>
    <row r="4" spans="1:14" x14ac:dyDescent="0.25">
      <c r="A4" t="s">
        <v>19</v>
      </c>
      <c r="B4">
        <v>3</v>
      </c>
      <c r="C4" t="s">
        <v>20</v>
      </c>
      <c r="G4" t="s">
        <v>12</v>
      </c>
      <c r="H4" t="s">
        <v>21</v>
      </c>
      <c r="I4" t="s">
        <v>22</v>
      </c>
      <c r="J4">
        <v>15</v>
      </c>
      <c r="K4">
        <v>3</v>
      </c>
    </row>
    <row r="5" spans="1:14" x14ac:dyDescent="0.25">
      <c r="A5" t="s">
        <v>23</v>
      </c>
      <c r="B5">
        <v>1</v>
      </c>
      <c r="C5" t="s">
        <v>24</v>
      </c>
      <c r="G5" t="s">
        <v>25</v>
      </c>
      <c r="H5" t="s">
        <v>26</v>
      </c>
      <c r="I5" t="s">
        <v>27</v>
      </c>
      <c r="J5">
        <v>5</v>
      </c>
      <c r="K5">
        <v>4</v>
      </c>
    </row>
    <row r="6" spans="1:14" x14ac:dyDescent="0.25">
      <c r="A6" t="s">
        <v>28</v>
      </c>
      <c r="B6">
        <v>2</v>
      </c>
      <c r="C6" t="s">
        <v>29</v>
      </c>
      <c r="G6" t="s">
        <v>12</v>
      </c>
      <c r="H6" t="s">
        <v>30</v>
      </c>
      <c r="I6" t="s">
        <v>31</v>
      </c>
      <c r="J6">
        <v>10</v>
      </c>
      <c r="K6">
        <v>5</v>
      </c>
    </row>
    <row r="7" spans="1:14" x14ac:dyDescent="0.25">
      <c r="A7" t="s">
        <v>32</v>
      </c>
      <c r="B7">
        <v>15</v>
      </c>
      <c r="C7" t="s">
        <v>33</v>
      </c>
      <c r="G7" t="s">
        <v>12</v>
      </c>
      <c r="H7" t="s">
        <v>34</v>
      </c>
      <c r="I7" t="s">
        <v>35</v>
      </c>
      <c r="J7">
        <v>0</v>
      </c>
      <c r="L7" t="s">
        <v>272</v>
      </c>
      <c r="M7">
        <v>50</v>
      </c>
      <c r="N7" t="s">
        <v>273</v>
      </c>
    </row>
    <row r="8" spans="1:14" x14ac:dyDescent="0.25">
      <c r="A8" t="s">
        <v>36</v>
      </c>
      <c r="B8">
        <v>1</v>
      </c>
      <c r="C8" t="s">
        <v>37</v>
      </c>
      <c r="G8" t="s">
        <v>12</v>
      </c>
      <c r="H8" t="s">
        <v>38</v>
      </c>
      <c r="I8" t="s">
        <v>39</v>
      </c>
      <c r="J8">
        <v>0</v>
      </c>
      <c r="L8" t="s">
        <v>275</v>
      </c>
      <c r="M8">
        <v>25</v>
      </c>
      <c r="N8" t="s">
        <v>273</v>
      </c>
    </row>
    <row r="9" spans="1:14" x14ac:dyDescent="0.25">
      <c r="A9" t="s">
        <v>40</v>
      </c>
      <c r="B9">
        <v>4</v>
      </c>
      <c r="C9" t="s">
        <v>41</v>
      </c>
      <c r="G9" t="s">
        <v>12</v>
      </c>
      <c r="H9" t="s">
        <v>42</v>
      </c>
      <c r="I9" t="s">
        <v>43</v>
      </c>
      <c r="J9">
        <v>20</v>
      </c>
      <c r="K9">
        <v>6</v>
      </c>
    </row>
    <row r="10" spans="1:14" x14ac:dyDescent="0.25">
      <c r="A10" t="s">
        <v>44</v>
      </c>
      <c r="B10">
        <v>1</v>
      </c>
      <c r="C10" t="s">
        <v>45</v>
      </c>
      <c r="G10" t="s">
        <v>12</v>
      </c>
      <c r="H10" t="s">
        <v>46</v>
      </c>
      <c r="I10" t="s">
        <v>47</v>
      </c>
      <c r="J10">
        <v>0</v>
      </c>
      <c r="L10" t="s">
        <v>276</v>
      </c>
      <c r="M10">
        <v>25</v>
      </c>
      <c r="N10" t="s">
        <v>273</v>
      </c>
    </row>
    <row r="11" spans="1:14" x14ac:dyDescent="0.25">
      <c r="A11" t="s">
        <v>48</v>
      </c>
      <c r="B11">
        <v>2</v>
      </c>
      <c r="C11" t="s">
        <v>49</v>
      </c>
      <c r="G11" t="s">
        <v>50</v>
      </c>
      <c r="H11" t="s">
        <v>51</v>
      </c>
      <c r="I11" t="s">
        <v>52</v>
      </c>
      <c r="J11">
        <v>10</v>
      </c>
      <c r="K11">
        <v>7</v>
      </c>
    </row>
    <row r="12" spans="1:14" x14ac:dyDescent="0.25">
      <c r="A12" t="s">
        <v>53</v>
      </c>
      <c r="B12">
        <v>1</v>
      </c>
      <c r="C12" t="s">
        <v>54</v>
      </c>
      <c r="G12" t="s">
        <v>12</v>
      </c>
      <c r="H12" t="s">
        <v>55</v>
      </c>
      <c r="I12" t="s">
        <v>56</v>
      </c>
      <c r="J12">
        <v>15</v>
      </c>
      <c r="K12">
        <v>8</v>
      </c>
    </row>
    <row r="13" spans="1:14" x14ac:dyDescent="0.25">
      <c r="A13" t="s">
        <v>57</v>
      </c>
      <c r="B13">
        <v>2</v>
      </c>
      <c r="C13" t="s">
        <v>58</v>
      </c>
      <c r="G13" t="s">
        <v>12</v>
      </c>
      <c r="H13" t="s">
        <v>55</v>
      </c>
      <c r="I13" t="s">
        <v>56</v>
      </c>
      <c r="J13">
        <v>15</v>
      </c>
      <c r="K13">
        <v>8</v>
      </c>
    </row>
    <row r="14" spans="1:14" x14ac:dyDescent="0.25">
      <c r="A14" t="s">
        <v>59</v>
      </c>
      <c r="B14">
        <v>1</v>
      </c>
      <c r="C14" t="s">
        <v>60</v>
      </c>
      <c r="G14" t="s">
        <v>61</v>
      </c>
      <c r="H14" t="s">
        <v>62</v>
      </c>
      <c r="I14" t="s">
        <v>63</v>
      </c>
      <c r="J14">
        <v>5</v>
      </c>
      <c r="K14">
        <v>9</v>
      </c>
    </row>
    <row r="15" spans="1:14" x14ac:dyDescent="0.25">
      <c r="A15" t="s">
        <v>64</v>
      </c>
      <c r="B15">
        <v>1</v>
      </c>
      <c r="C15" t="s">
        <v>65</v>
      </c>
      <c r="G15" t="s">
        <v>12</v>
      </c>
      <c r="H15" t="s">
        <v>66</v>
      </c>
      <c r="I15" t="s">
        <v>67</v>
      </c>
      <c r="J15">
        <v>5</v>
      </c>
      <c r="K15">
        <v>10</v>
      </c>
    </row>
    <row r="16" spans="1:14" x14ac:dyDescent="0.25">
      <c r="A16" t="s">
        <v>68</v>
      </c>
      <c r="B16">
        <v>1</v>
      </c>
      <c r="C16" t="s">
        <v>69</v>
      </c>
      <c r="G16" t="s">
        <v>70</v>
      </c>
      <c r="H16" t="s">
        <v>71</v>
      </c>
      <c r="I16" t="s">
        <v>72</v>
      </c>
      <c r="J16">
        <v>5</v>
      </c>
      <c r="K16">
        <v>11</v>
      </c>
    </row>
    <row r="17" spans="1:11" x14ac:dyDescent="0.25">
      <c r="A17" t="s">
        <v>73</v>
      </c>
      <c r="B17">
        <v>1</v>
      </c>
      <c r="C17" t="s">
        <v>74</v>
      </c>
      <c r="G17" t="s">
        <v>75</v>
      </c>
      <c r="H17" t="s">
        <v>76</v>
      </c>
      <c r="I17" t="s">
        <v>77</v>
      </c>
      <c r="J17">
        <v>5</v>
      </c>
      <c r="K17">
        <v>12</v>
      </c>
    </row>
    <row r="18" spans="1:11" x14ac:dyDescent="0.25">
      <c r="A18" t="s">
        <v>78</v>
      </c>
      <c r="B18">
        <v>1</v>
      </c>
      <c r="C18" t="s">
        <v>79</v>
      </c>
      <c r="G18" t="s">
        <v>80</v>
      </c>
      <c r="H18" t="s">
        <v>81</v>
      </c>
      <c r="I18" t="s">
        <v>82</v>
      </c>
      <c r="J18">
        <v>5</v>
      </c>
      <c r="K18">
        <v>36</v>
      </c>
    </row>
    <row r="19" spans="1:11" x14ac:dyDescent="0.25">
      <c r="A19" t="s">
        <v>83</v>
      </c>
      <c r="B19">
        <v>1</v>
      </c>
      <c r="C19" t="s">
        <v>84</v>
      </c>
      <c r="G19" t="s">
        <v>85</v>
      </c>
      <c r="H19" t="s">
        <v>86</v>
      </c>
      <c r="I19" t="s">
        <v>87</v>
      </c>
      <c r="J19">
        <v>5</v>
      </c>
      <c r="K19">
        <v>13</v>
      </c>
    </row>
    <row r="20" spans="1:11" x14ac:dyDescent="0.25">
      <c r="A20" t="s">
        <v>88</v>
      </c>
      <c r="B20">
        <v>1</v>
      </c>
      <c r="C20" t="s">
        <v>89</v>
      </c>
      <c r="G20" t="s">
        <v>90</v>
      </c>
      <c r="H20" t="s">
        <v>91</v>
      </c>
      <c r="I20" t="s">
        <v>92</v>
      </c>
      <c r="J20">
        <v>5</v>
      </c>
      <c r="K20">
        <v>14</v>
      </c>
    </row>
    <row r="21" spans="1:11" x14ac:dyDescent="0.25">
      <c r="A21" t="s">
        <v>93</v>
      </c>
      <c r="B21">
        <v>1</v>
      </c>
      <c r="C21" t="s">
        <v>94</v>
      </c>
      <c r="G21" t="s">
        <v>95</v>
      </c>
      <c r="H21" t="s">
        <v>96</v>
      </c>
      <c r="I21" t="s">
        <v>97</v>
      </c>
      <c r="J21">
        <v>5</v>
      </c>
      <c r="K21">
        <v>15</v>
      </c>
    </row>
    <row r="22" spans="1:11" x14ac:dyDescent="0.25">
      <c r="A22" t="s">
        <v>98</v>
      </c>
      <c r="B22">
        <v>1</v>
      </c>
      <c r="C22" t="s">
        <v>99</v>
      </c>
      <c r="G22" t="s">
        <v>100</v>
      </c>
      <c r="H22" t="s">
        <v>101</v>
      </c>
      <c r="I22" t="s">
        <v>102</v>
      </c>
      <c r="J22">
        <v>5</v>
      </c>
      <c r="K22">
        <v>16</v>
      </c>
    </row>
    <row r="23" spans="1:11" x14ac:dyDescent="0.25">
      <c r="A23" t="s">
        <v>103</v>
      </c>
      <c r="B23">
        <v>1</v>
      </c>
      <c r="C23" t="s">
        <v>104</v>
      </c>
      <c r="G23" t="s">
        <v>105</v>
      </c>
      <c r="H23" t="s">
        <v>106</v>
      </c>
      <c r="I23" t="s">
        <v>107</v>
      </c>
      <c r="J23">
        <v>5</v>
      </c>
      <c r="K23">
        <v>22</v>
      </c>
    </row>
    <row r="24" spans="1:11" x14ac:dyDescent="0.25">
      <c r="A24" t="s">
        <v>108</v>
      </c>
      <c r="B24">
        <v>1</v>
      </c>
      <c r="C24" t="s">
        <v>109</v>
      </c>
      <c r="G24" t="s">
        <v>110</v>
      </c>
      <c r="H24" t="s">
        <v>111</v>
      </c>
      <c r="I24" t="s">
        <v>112</v>
      </c>
      <c r="J24">
        <v>5</v>
      </c>
      <c r="K24">
        <v>23</v>
      </c>
    </row>
    <row r="25" spans="1:11" x14ac:dyDescent="0.25">
      <c r="A25" t="s">
        <v>113</v>
      </c>
      <c r="B25">
        <v>1</v>
      </c>
      <c r="C25" t="s">
        <v>114</v>
      </c>
      <c r="G25" t="s">
        <v>115</v>
      </c>
      <c r="H25" t="s">
        <v>116</v>
      </c>
      <c r="I25" t="s">
        <v>117</v>
      </c>
      <c r="J25">
        <v>5</v>
      </c>
      <c r="K25">
        <v>38</v>
      </c>
    </row>
    <row r="26" spans="1:11" x14ac:dyDescent="0.25">
      <c r="A26" t="s">
        <v>118</v>
      </c>
      <c r="B26">
        <v>1</v>
      </c>
      <c r="C26" t="s">
        <v>119</v>
      </c>
      <c r="G26" t="s">
        <v>120</v>
      </c>
      <c r="H26" t="s">
        <v>121</v>
      </c>
      <c r="I26" t="s">
        <v>122</v>
      </c>
      <c r="J26">
        <v>5</v>
      </c>
      <c r="K26">
        <v>39</v>
      </c>
    </row>
    <row r="27" spans="1:11" x14ac:dyDescent="0.25">
      <c r="A27" t="s">
        <v>123</v>
      </c>
      <c r="B27">
        <v>1</v>
      </c>
      <c r="C27" t="s">
        <v>124</v>
      </c>
      <c r="G27" t="s">
        <v>125</v>
      </c>
      <c r="H27" t="s">
        <v>126</v>
      </c>
      <c r="I27" t="s">
        <v>127</v>
      </c>
      <c r="J27">
        <v>5</v>
      </c>
      <c r="K27">
        <v>35</v>
      </c>
    </row>
    <row r="28" spans="1:11" x14ac:dyDescent="0.25">
      <c r="A28" t="s">
        <v>128</v>
      </c>
      <c r="B28">
        <v>1</v>
      </c>
      <c r="C28" t="s">
        <v>129</v>
      </c>
      <c r="G28" t="s">
        <v>130</v>
      </c>
      <c r="H28" t="s">
        <v>131</v>
      </c>
      <c r="I28" t="s">
        <v>132</v>
      </c>
      <c r="J28">
        <v>5</v>
      </c>
      <c r="K28">
        <v>30</v>
      </c>
    </row>
    <row r="29" spans="1:11" x14ac:dyDescent="0.25">
      <c r="A29" t="s">
        <v>133</v>
      </c>
      <c r="B29">
        <v>1</v>
      </c>
      <c r="C29" t="s">
        <v>134</v>
      </c>
      <c r="G29" t="s">
        <v>135</v>
      </c>
      <c r="H29" t="s">
        <v>136</v>
      </c>
      <c r="I29" t="s">
        <v>137</v>
      </c>
      <c r="J29">
        <v>5</v>
      </c>
      <c r="K29">
        <v>37</v>
      </c>
    </row>
    <row r="30" spans="1:11" x14ac:dyDescent="0.25">
      <c r="A30" t="s">
        <v>138</v>
      </c>
      <c r="B30">
        <v>1</v>
      </c>
      <c r="C30" t="s">
        <v>139</v>
      </c>
      <c r="G30" t="s">
        <v>140</v>
      </c>
      <c r="H30" t="s">
        <v>141</v>
      </c>
      <c r="I30" t="s">
        <v>142</v>
      </c>
      <c r="J30">
        <v>5</v>
      </c>
      <c r="K30">
        <v>19</v>
      </c>
    </row>
    <row r="31" spans="1:11" x14ac:dyDescent="0.25">
      <c r="A31" t="s">
        <v>143</v>
      </c>
      <c r="B31">
        <v>2</v>
      </c>
      <c r="C31" t="s">
        <v>144</v>
      </c>
      <c r="G31" t="s">
        <v>145</v>
      </c>
      <c r="H31" t="s">
        <v>146</v>
      </c>
      <c r="I31" t="s">
        <v>147</v>
      </c>
      <c r="J31">
        <v>10</v>
      </c>
      <c r="K31">
        <v>24</v>
      </c>
    </row>
    <row r="32" spans="1:11" x14ac:dyDescent="0.25">
      <c r="A32" t="s">
        <v>148</v>
      </c>
      <c r="B32">
        <v>1</v>
      </c>
      <c r="C32" t="s">
        <v>149</v>
      </c>
      <c r="G32" t="s">
        <v>150</v>
      </c>
      <c r="H32" t="s">
        <v>151</v>
      </c>
      <c r="I32" t="s">
        <v>152</v>
      </c>
      <c r="J32">
        <v>5</v>
      </c>
      <c r="K32">
        <v>29</v>
      </c>
    </row>
    <row r="33" spans="1:14" x14ac:dyDescent="0.25">
      <c r="A33" t="s">
        <v>153</v>
      </c>
      <c r="B33">
        <v>1</v>
      </c>
      <c r="C33" t="s">
        <v>154</v>
      </c>
      <c r="G33" t="s">
        <v>155</v>
      </c>
      <c r="H33" t="s">
        <v>156</v>
      </c>
      <c r="I33" t="s">
        <v>157</v>
      </c>
      <c r="J33">
        <v>5</v>
      </c>
      <c r="K33">
        <v>17</v>
      </c>
    </row>
    <row r="34" spans="1:14" x14ac:dyDescent="0.25">
      <c r="A34" t="s">
        <v>158</v>
      </c>
      <c r="B34">
        <v>2</v>
      </c>
      <c r="C34" t="s">
        <v>159</v>
      </c>
      <c r="G34" t="s">
        <v>160</v>
      </c>
      <c r="H34" t="s">
        <v>161</v>
      </c>
      <c r="I34" t="s">
        <v>162</v>
      </c>
      <c r="J34">
        <v>10</v>
      </c>
      <c r="K34">
        <v>28</v>
      </c>
    </row>
    <row r="35" spans="1:14" x14ac:dyDescent="0.25">
      <c r="A35" t="s">
        <v>163</v>
      </c>
      <c r="B35">
        <v>1</v>
      </c>
      <c r="C35" t="s">
        <v>164</v>
      </c>
      <c r="G35" t="s">
        <v>164</v>
      </c>
      <c r="H35" t="s">
        <v>165</v>
      </c>
      <c r="I35" t="s">
        <v>166</v>
      </c>
      <c r="J35">
        <v>5</v>
      </c>
      <c r="K35">
        <v>19</v>
      </c>
    </row>
    <row r="36" spans="1:14" x14ac:dyDescent="0.25">
      <c r="A36" t="s">
        <v>167</v>
      </c>
      <c r="B36">
        <v>2</v>
      </c>
      <c r="C36" t="s">
        <v>11</v>
      </c>
      <c r="G36" t="s">
        <v>168</v>
      </c>
      <c r="H36" t="s">
        <v>146</v>
      </c>
      <c r="I36" t="s">
        <v>169</v>
      </c>
      <c r="J36">
        <v>10</v>
      </c>
      <c r="K36">
        <v>32</v>
      </c>
    </row>
    <row r="37" spans="1:14" x14ac:dyDescent="0.25">
      <c r="A37" t="s">
        <v>170</v>
      </c>
      <c r="B37">
        <v>1</v>
      </c>
      <c r="C37" t="s">
        <v>171</v>
      </c>
      <c r="G37" t="s">
        <v>172</v>
      </c>
      <c r="H37" t="s">
        <v>173</v>
      </c>
      <c r="I37" t="s">
        <v>174</v>
      </c>
      <c r="J37">
        <v>5</v>
      </c>
      <c r="K37">
        <v>31</v>
      </c>
    </row>
    <row r="38" spans="1:14" x14ac:dyDescent="0.25">
      <c r="A38" t="s">
        <v>175</v>
      </c>
      <c r="B38">
        <v>1</v>
      </c>
      <c r="C38" t="s">
        <v>176</v>
      </c>
      <c r="G38" t="s">
        <v>168</v>
      </c>
      <c r="H38" t="s">
        <v>177</v>
      </c>
      <c r="I38" t="s">
        <v>178</v>
      </c>
      <c r="J38">
        <v>5</v>
      </c>
      <c r="K38">
        <v>33</v>
      </c>
    </row>
    <row r="39" spans="1:14" x14ac:dyDescent="0.25">
      <c r="A39" t="s">
        <v>179</v>
      </c>
      <c r="B39">
        <v>1</v>
      </c>
      <c r="C39" t="s">
        <v>180</v>
      </c>
      <c r="G39" t="s">
        <v>181</v>
      </c>
      <c r="H39" t="s">
        <v>182</v>
      </c>
      <c r="I39" t="s">
        <v>183</v>
      </c>
      <c r="J39">
        <v>5</v>
      </c>
      <c r="K39">
        <v>34</v>
      </c>
    </row>
    <row r="40" spans="1:14" x14ac:dyDescent="0.25">
      <c r="A40" t="s">
        <v>184</v>
      </c>
      <c r="B40">
        <v>2</v>
      </c>
      <c r="C40" t="s">
        <v>185</v>
      </c>
      <c r="E40" t="s">
        <v>186</v>
      </c>
      <c r="G40" t="s">
        <v>187</v>
      </c>
      <c r="H40" t="s">
        <v>146</v>
      </c>
      <c r="J40">
        <v>1000</v>
      </c>
    </row>
    <row r="41" spans="1:14" x14ac:dyDescent="0.25">
      <c r="A41" t="s">
        <v>188</v>
      </c>
      <c r="B41">
        <v>1</v>
      </c>
      <c r="C41" t="s">
        <v>189</v>
      </c>
      <c r="G41" t="s">
        <v>190</v>
      </c>
      <c r="H41" t="s">
        <v>191</v>
      </c>
      <c r="I41" t="s">
        <v>192</v>
      </c>
      <c r="J41">
        <v>5</v>
      </c>
      <c r="K41">
        <v>26</v>
      </c>
    </row>
    <row r="42" spans="1:14" x14ac:dyDescent="0.25">
      <c r="A42" t="s">
        <v>193</v>
      </c>
      <c r="B42">
        <v>2</v>
      </c>
      <c r="C42" t="s">
        <v>194</v>
      </c>
      <c r="G42" t="s">
        <v>195</v>
      </c>
      <c r="H42" t="s">
        <v>196</v>
      </c>
      <c r="I42" t="s">
        <v>197</v>
      </c>
      <c r="J42">
        <v>10</v>
      </c>
      <c r="K42">
        <v>51</v>
      </c>
      <c r="L42" t="s">
        <v>281</v>
      </c>
      <c r="M42">
        <v>50</v>
      </c>
      <c r="N42" t="s">
        <v>279</v>
      </c>
    </row>
    <row r="43" spans="1:14" x14ac:dyDescent="0.25">
      <c r="A43" t="s">
        <v>198</v>
      </c>
      <c r="B43">
        <v>1</v>
      </c>
      <c r="C43" t="s">
        <v>199</v>
      </c>
      <c r="G43" t="s">
        <v>195</v>
      </c>
      <c r="H43" t="s">
        <v>200</v>
      </c>
      <c r="I43" t="s">
        <v>201</v>
      </c>
      <c r="J43">
        <v>5</v>
      </c>
      <c r="K43">
        <v>55</v>
      </c>
    </row>
    <row r="44" spans="1:14" x14ac:dyDescent="0.25">
      <c r="A44" t="s">
        <v>202</v>
      </c>
      <c r="B44">
        <v>1</v>
      </c>
      <c r="C44" t="s">
        <v>203</v>
      </c>
      <c r="G44" t="s">
        <v>195</v>
      </c>
      <c r="H44" t="s">
        <v>196</v>
      </c>
      <c r="I44" t="s">
        <v>204</v>
      </c>
      <c r="J44">
        <v>5</v>
      </c>
      <c r="K44">
        <v>52</v>
      </c>
    </row>
    <row r="45" spans="1:14" x14ac:dyDescent="0.25">
      <c r="A45" t="s">
        <v>205</v>
      </c>
      <c r="B45">
        <v>1</v>
      </c>
      <c r="C45" t="s">
        <v>206</v>
      </c>
      <c r="G45" t="s">
        <v>195</v>
      </c>
      <c r="H45" t="s">
        <v>207</v>
      </c>
      <c r="I45" t="s">
        <v>208</v>
      </c>
      <c r="J45">
        <v>5</v>
      </c>
      <c r="K45">
        <v>49</v>
      </c>
    </row>
    <row r="46" spans="1:14" x14ac:dyDescent="0.25">
      <c r="A46" t="s">
        <v>209</v>
      </c>
      <c r="B46">
        <v>1</v>
      </c>
      <c r="C46" t="s">
        <v>210</v>
      </c>
      <c r="G46" t="s">
        <v>195</v>
      </c>
      <c r="H46" t="s">
        <v>211</v>
      </c>
      <c r="I46" t="s">
        <v>212</v>
      </c>
      <c r="J46">
        <v>5</v>
      </c>
      <c r="K46">
        <v>54</v>
      </c>
    </row>
    <row r="47" spans="1:14" x14ac:dyDescent="0.25">
      <c r="A47" t="s">
        <v>213</v>
      </c>
      <c r="B47">
        <v>4</v>
      </c>
      <c r="C47" t="s">
        <v>214</v>
      </c>
      <c r="G47" t="s">
        <v>195</v>
      </c>
      <c r="H47" t="s">
        <v>211</v>
      </c>
      <c r="I47" t="s">
        <v>215</v>
      </c>
      <c r="J47">
        <v>20</v>
      </c>
      <c r="K47">
        <v>46</v>
      </c>
      <c r="L47" t="s">
        <v>284</v>
      </c>
      <c r="M47">
        <v>100</v>
      </c>
      <c r="N47" t="s">
        <v>279</v>
      </c>
    </row>
    <row r="48" spans="1:14" x14ac:dyDescent="0.25">
      <c r="A48" t="s">
        <v>216</v>
      </c>
      <c r="B48">
        <v>4</v>
      </c>
      <c r="C48" t="s">
        <v>217</v>
      </c>
      <c r="G48" t="s">
        <v>195</v>
      </c>
      <c r="H48" t="s">
        <v>218</v>
      </c>
      <c r="I48" t="s">
        <v>219</v>
      </c>
      <c r="J48">
        <v>20</v>
      </c>
      <c r="K48">
        <v>43</v>
      </c>
    </row>
    <row r="49" spans="1:14" x14ac:dyDescent="0.25">
      <c r="A49" t="s">
        <v>220</v>
      </c>
      <c r="B49">
        <v>2</v>
      </c>
      <c r="C49" t="s">
        <v>221</v>
      </c>
      <c r="G49" t="s">
        <v>195</v>
      </c>
      <c r="H49" t="s">
        <v>222</v>
      </c>
      <c r="I49" t="s">
        <v>223</v>
      </c>
      <c r="J49">
        <v>10</v>
      </c>
      <c r="K49">
        <v>41</v>
      </c>
      <c r="L49" t="s">
        <v>286</v>
      </c>
      <c r="M49">
        <v>50</v>
      </c>
      <c r="N49" t="s">
        <v>279</v>
      </c>
    </row>
    <row r="50" spans="1:14" x14ac:dyDescent="0.25">
      <c r="A50" t="s">
        <v>224</v>
      </c>
      <c r="B50">
        <v>1</v>
      </c>
      <c r="C50" t="s">
        <v>225</v>
      </c>
      <c r="G50" t="s">
        <v>195</v>
      </c>
      <c r="H50" t="s">
        <v>218</v>
      </c>
      <c r="I50" t="s">
        <v>226</v>
      </c>
      <c r="J50">
        <v>5</v>
      </c>
      <c r="K50">
        <v>40</v>
      </c>
      <c r="L50" t="s">
        <v>278</v>
      </c>
      <c r="M50">
        <v>50</v>
      </c>
      <c r="N50" t="s">
        <v>279</v>
      </c>
    </row>
    <row r="51" spans="1:14" x14ac:dyDescent="0.25">
      <c r="A51" t="s">
        <v>227</v>
      </c>
      <c r="B51">
        <v>2</v>
      </c>
      <c r="C51" t="s">
        <v>228</v>
      </c>
      <c r="G51" t="s">
        <v>195</v>
      </c>
      <c r="H51" t="s">
        <v>229</v>
      </c>
      <c r="I51" t="s">
        <v>230</v>
      </c>
      <c r="J51">
        <v>10</v>
      </c>
      <c r="K51">
        <v>50</v>
      </c>
      <c r="L51" t="s">
        <v>282</v>
      </c>
      <c r="M51">
        <v>50</v>
      </c>
      <c r="N51" t="s">
        <v>279</v>
      </c>
    </row>
    <row r="52" spans="1:14" x14ac:dyDescent="0.25">
      <c r="A52" t="s">
        <v>231</v>
      </c>
      <c r="B52">
        <v>1</v>
      </c>
      <c r="C52" t="s">
        <v>232</v>
      </c>
      <c r="G52" t="s">
        <v>195</v>
      </c>
      <c r="H52" t="s">
        <v>218</v>
      </c>
      <c r="I52" t="s">
        <v>233</v>
      </c>
      <c r="J52">
        <v>5</v>
      </c>
      <c r="K52">
        <v>47</v>
      </c>
    </row>
    <row r="53" spans="1:14" x14ac:dyDescent="0.25">
      <c r="A53" t="s">
        <v>234</v>
      </c>
      <c r="B53">
        <v>1</v>
      </c>
      <c r="C53" t="s">
        <v>235</v>
      </c>
      <c r="G53" t="s">
        <v>195</v>
      </c>
      <c r="H53" t="s">
        <v>211</v>
      </c>
      <c r="I53" t="s">
        <v>236</v>
      </c>
      <c r="J53">
        <v>5</v>
      </c>
      <c r="K53">
        <v>53</v>
      </c>
      <c r="L53" t="s">
        <v>280</v>
      </c>
      <c r="M53">
        <v>25</v>
      </c>
      <c r="N53" t="s">
        <v>279</v>
      </c>
    </row>
    <row r="54" spans="1:14" x14ac:dyDescent="0.25">
      <c r="A54" t="s">
        <v>237</v>
      </c>
      <c r="B54">
        <v>1</v>
      </c>
      <c r="C54">
        <v>0</v>
      </c>
      <c r="G54" t="s">
        <v>195</v>
      </c>
      <c r="H54" t="s">
        <v>238</v>
      </c>
      <c r="I54" t="s">
        <v>239</v>
      </c>
      <c r="J54">
        <v>5</v>
      </c>
      <c r="K54">
        <v>48</v>
      </c>
      <c r="L54" t="s">
        <v>283</v>
      </c>
      <c r="M54">
        <v>100</v>
      </c>
      <c r="N54" t="s">
        <v>279</v>
      </c>
    </row>
    <row r="55" spans="1:14" x14ac:dyDescent="0.25">
      <c r="A55" t="s">
        <v>240</v>
      </c>
      <c r="B55">
        <v>4</v>
      </c>
      <c r="C55" t="s">
        <v>241</v>
      </c>
      <c r="G55" t="s">
        <v>195</v>
      </c>
      <c r="H55" t="s">
        <v>242</v>
      </c>
      <c r="I55" t="s">
        <v>243</v>
      </c>
      <c r="J55">
        <v>20</v>
      </c>
      <c r="K55">
        <v>44</v>
      </c>
      <c r="L55" t="s">
        <v>285</v>
      </c>
      <c r="M55">
        <v>50</v>
      </c>
      <c r="N55" t="s">
        <v>279</v>
      </c>
    </row>
    <row r="56" spans="1:14" x14ac:dyDescent="0.25">
      <c r="A56" t="s">
        <v>244</v>
      </c>
      <c r="B56">
        <v>2</v>
      </c>
      <c r="C56" t="s">
        <v>245</v>
      </c>
      <c r="G56" t="s">
        <v>195</v>
      </c>
      <c r="H56" t="s">
        <v>246</v>
      </c>
      <c r="I56" t="s">
        <v>247</v>
      </c>
      <c r="J56">
        <v>10</v>
      </c>
      <c r="K56">
        <v>45</v>
      </c>
    </row>
    <row r="57" spans="1:14" x14ac:dyDescent="0.25">
      <c r="A57" t="s">
        <v>248</v>
      </c>
      <c r="B57">
        <v>2</v>
      </c>
      <c r="C57" t="s">
        <v>249</v>
      </c>
      <c r="G57" t="s">
        <v>195</v>
      </c>
      <c r="H57" t="s">
        <v>250</v>
      </c>
      <c r="I57" t="s">
        <v>251</v>
      </c>
      <c r="J57">
        <v>10</v>
      </c>
      <c r="K57">
        <v>42</v>
      </c>
    </row>
    <row r="58" spans="1:14" x14ac:dyDescent="0.25">
      <c r="A58" t="s">
        <v>252</v>
      </c>
      <c r="B58">
        <v>1</v>
      </c>
      <c r="C58" t="s">
        <v>253</v>
      </c>
      <c r="G58" t="s">
        <v>253</v>
      </c>
      <c r="H58" t="s">
        <v>254</v>
      </c>
      <c r="I58" t="s">
        <v>255</v>
      </c>
      <c r="J58">
        <v>5</v>
      </c>
      <c r="K58">
        <v>21</v>
      </c>
    </row>
    <row r="59" spans="1:14" x14ac:dyDescent="0.25">
      <c r="A59" t="s">
        <v>256</v>
      </c>
      <c r="B59">
        <v>1</v>
      </c>
      <c r="C59" t="s">
        <v>257</v>
      </c>
      <c r="G59" t="s">
        <v>258</v>
      </c>
      <c r="H59" t="s">
        <v>259</v>
      </c>
      <c r="I59" t="s">
        <v>260</v>
      </c>
      <c r="J59">
        <v>5</v>
      </c>
      <c r="K59">
        <v>18</v>
      </c>
    </row>
    <row r="60" spans="1:14" x14ac:dyDescent="0.25">
      <c r="A60" t="s">
        <v>261</v>
      </c>
      <c r="B60">
        <v>1</v>
      </c>
      <c r="C60" t="s">
        <v>262</v>
      </c>
      <c r="G60" t="s">
        <v>263</v>
      </c>
      <c r="H60" t="s">
        <v>264</v>
      </c>
      <c r="I60" t="s">
        <v>265</v>
      </c>
      <c r="J60">
        <v>5</v>
      </c>
      <c r="K60">
        <v>20</v>
      </c>
    </row>
    <row r="61" spans="1:14" x14ac:dyDescent="0.25">
      <c r="A61" t="s">
        <v>266</v>
      </c>
      <c r="B61">
        <v>1</v>
      </c>
      <c r="C61" t="s">
        <v>267</v>
      </c>
      <c r="G61" t="s">
        <v>268</v>
      </c>
      <c r="H61" t="s">
        <v>264</v>
      </c>
      <c r="I61" t="s">
        <v>269</v>
      </c>
      <c r="J61">
        <v>5</v>
      </c>
      <c r="K61">
        <v>27</v>
      </c>
    </row>
  </sheetData>
  <pageMargins left="0.7" right="0.7" top="0.75" bottom="0.75" header="0.3" footer="0.3"/>
  <pageSetup paperSize="9" scale="50" fitToHeight="0" orientation="landscape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01E1-7BE0-4F5D-8669-D02CF96546F8}">
  <dimension ref="A1:I71"/>
  <sheetViews>
    <sheetView workbookViewId="0">
      <selection activeCell="B2" sqref="B2"/>
    </sheetView>
  </sheetViews>
  <sheetFormatPr defaultRowHeight="15" x14ac:dyDescent="0.25"/>
  <cols>
    <col min="1" max="1" width="23.42578125" bestFit="1" customWidth="1"/>
    <col min="2" max="2" width="26.5703125" customWidth="1"/>
    <col min="3" max="3" width="18.140625" bestFit="1" customWidth="1"/>
    <col min="4" max="4" width="7" hidden="1" customWidth="1"/>
    <col min="5" max="5" width="19" hidden="1" customWidth="1"/>
    <col min="6" max="6" width="20.140625" hidden="1" customWidth="1"/>
    <col min="7" max="7" width="255.7109375" hidden="1" customWidth="1"/>
    <col min="8" max="8" width="10.7109375" customWidth="1"/>
    <col min="9" max="9" width="10" customWidth="1"/>
  </cols>
  <sheetData>
    <row r="1" spans="1:9" x14ac:dyDescent="0.25">
      <c r="A1" t="s">
        <v>8</v>
      </c>
      <c r="B1" t="s">
        <v>287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289</v>
      </c>
      <c r="I1" t="s">
        <v>288</v>
      </c>
    </row>
    <row r="2" spans="1:9" x14ac:dyDescent="0.25">
      <c r="A2" t="s">
        <v>14</v>
      </c>
      <c r="C2" t="s">
        <v>11</v>
      </c>
      <c r="G2" t="s">
        <v>13</v>
      </c>
      <c r="H2">
        <v>20</v>
      </c>
      <c r="I2">
        <v>1</v>
      </c>
    </row>
    <row r="3" spans="1:9" x14ac:dyDescent="0.25">
      <c r="A3" t="s">
        <v>18</v>
      </c>
      <c r="B3" s="1" t="str">
        <f>VLOOKUP(Table2[[#This Row],[Mouser Part Number]],Map!H3:H58,1)</f>
        <v>815-ABLS25.MHZDFT</v>
      </c>
      <c r="C3" t="s">
        <v>16</v>
      </c>
      <c r="G3" t="s">
        <v>17</v>
      </c>
      <c r="H3">
        <v>20</v>
      </c>
      <c r="I3">
        <v>2</v>
      </c>
    </row>
    <row r="4" spans="1:9" x14ac:dyDescent="0.25">
      <c r="A4" t="s">
        <v>22</v>
      </c>
      <c r="B4" s="1" t="str">
        <f>VLOOKUP(Table2[[#This Row],[Mouser Part Number]],Map!H4:H59,1)</f>
        <v>815-ABLS25.MHZDFT</v>
      </c>
      <c r="C4" t="s">
        <v>20</v>
      </c>
      <c r="G4" t="s">
        <v>21</v>
      </c>
      <c r="H4">
        <v>15</v>
      </c>
      <c r="I4">
        <v>3</v>
      </c>
    </row>
    <row r="5" spans="1:9" x14ac:dyDescent="0.25">
      <c r="A5" t="s">
        <v>27</v>
      </c>
      <c r="B5" s="1" t="str">
        <f>VLOOKUP(Table2[[#This Row],[Mouser Part Number]],Map!H5:H60,1)</f>
        <v>673-H1102NL</v>
      </c>
      <c r="C5" t="s">
        <v>24</v>
      </c>
      <c r="G5" t="s">
        <v>26</v>
      </c>
      <c r="H5">
        <v>5</v>
      </c>
      <c r="I5">
        <v>4</v>
      </c>
    </row>
    <row r="6" spans="1:9" x14ac:dyDescent="0.25">
      <c r="A6" t="s">
        <v>31</v>
      </c>
      <c r="B6" s="1" t="str">
        <f>VLOOKUP(Table2[[#This Row],[Mouser Part Number]],Map!H6:H61,1)</f>
        <v>815-ABLS25.MHZDFT</v>
      </c>
      <c r="C6" t="s">
        <v>29</v>
      </c>
      <c r="G6" t="s">
        <v>30</v>
      </c>
      <c r="H6">
        <v>10</v>
      </c>
      <c r="I6">
        <v>5</v>
      </c>
    </row>
    <row r="7" spans="1:9" x14ac:dyDescent="0.25">
      <c r="A7" t="s">
        <v>35</v>
      </c>
      <c r="B7" s="1" t="str">
        <f>VLOOKUP(Table2[[#This Row],[Mouser Part Number]],Map!H7:H62,1)</f>
        <v>815-ABLS25.MHZDFT</v>
      </c>
      <c r="C7" t="s">
        <v>33</v>
      </c>
      <c r="G7" t="s">
        <v>34</v>
      </c>
      <c r="H7">
        <v>0</v>
      </c>
    </row>
    <row r="8" spans="1:9" x14ac:dyDescent="0.25">
      <c r="A8" t="s">
        <v>39</v>
      </c>
      <c r="B8" s="1" t="str">
        <f>VLOOKUP(Table2[[#This Row],[Mouser Part Number]],Map!H8:H63,1)</f>
        <v>815-ABLS25.MHZDFT</v>
      </c>
      <c r="C8" t="s">
        <v>37</v>
      </c>
      <c r="G8" t="s">
        <v>38</v>
      </c>
      <c r="H8">
        <v>0</v>
      </c>
    </row>
    <row r="9" spans="1:9" x14ac:dyDescent="0.25">
      <c r="A9" t="s">
        <v>43</v>
      </c>
      <c r="B9" s="1" t="str">
        <f>VLOOKUP(Table2[[#This Row],[Mouser Part Number]],Map!H9:H64,1)</f>
        <v>200-TMM10501TSSM</v>
      </c>
      <c r="C9" t="s">
        <v>41</v>
      </c>
      <c r="G9" t="s">
        <v>42</v>
      </c>
      <c r="H9">
        <v>20</v>
      </c>
      <c r="I9">
        <v>6</v>
      </c>
    </row>
    <row r="10" spans="1:9" x14ac:dyDescent="0.25">
      <c r="A10" t="s">
        <v>47</v>
      </c>
      <c r="B10" s="1" t="str">
        <f>VLOOKUP(Table2[[#This Row],[Mouser Part Number]],Map!H10:H65,1)</f>
        <v>815-ABLS25.MHZDFT</v>
      </c>
      <c r="C10" t="s">
        <v>45</v>
      </c>
      <c r="G10" t="s">
        <v>46</v>
      </c>
      <c r="H10">
        <v>0</v>
      </c>
    </row>
    <row r="11" spans="1:9" x14ac:dyDescent="0.25">
      <c r="A11" t="s">
        <v>52</v>
      </c>
      <c r="B11" s="1" t="str">
        <f>VLOOKUP(Table2[[#This Row],[Mouser Part Number]],Map!H11:H66,1)</f>
        <v>673-H1102NL</v>
      </c>
      <c r="C11" t="s">
        <v>49</v>
      </c>
      <c r="G11" t="s">
        <v>51</v>
      </c>
      <c r="H11">
        <v>10</v>
      </c>
      <c r="I11">
        <v>7</v>
      </c>
    </row>
    <row r="12" spans="1:9" x14ac:dyDescent="0.25">
      <c r="A12" t="s">
        <v>56</v>
      </c>
      <c r="B12" s="1" t="str">
        <f>VLOOKUP(Table2[[#This Row],[Mouser Part Number]],Map!H12:H67,1)</f>
        <v>673-H1102NL</v>
      </c>
      <c r="C12" t="s">
        <v>54</v>
      </c>
      <c r="G12" t="s">
        <v>55</v>
      </c>
      <c r="H12">
        <v>15</v>
      </c>
      <c r="I12">
        <v>8</v>
      </c>
    </row>
    <row r="13" spans="1:9" x14ac:dyDescent="0.25">
      <c r="A13" t="s">
        <v>56</v>
      </c>
      <c r="B13" s="1" t="str">
        <f>VLOOKUP(Table2[[#This Row],[Mouser Part Number]],Map!H13:H68,1)</f>
        <v>673-H1102NL</v>
      </c>
      <c r="C13" t="s">
        <v>58</v>
      </c>
      <c r="G13" t="s">
        <v>55</v>
      </c>
      <c r="H13">
        <v>15</v>
      </c>
      <c r="I13">
        <v>8</v>
      </c>
    </row>
    <row r="14" spans="1:9" x14ac:dyDescent="0.25">
      <c r="A14" t="s">
        <v>63</v>
      </c>
      <c r="B14" s="1" t="str">
        <f>VLOOKUP(Table2[[#This Row],[Mouser Part Number]],Map!H14:H69,1)</f>
        <v>815-ABLS25.MHZDFT</v>
      </c>
      <c r="C14" t="s">
        <v>60</v>
      </c>
      <c r="G14" t="s">
        <v>62</v>
      </c>
      <c r="H14">
        <v>5</v>
      </c>
      <c r="I14">
        <v>9</v>
      </c>
    </row>
    <row r="15" spans="1:9" x14ac:dyDescent="0.25">
      <c r="A15" t="s">
        <v>67</v>
      </c>
      <c r="B15" s="1" t="str">
        <f>VLOOKUP(Table2[[#This Row],[Mouser Part Number]],Map!H15:H70,1)</f>
        <v>673-H1102NL</v>
      </c>
      <c r="C15" t="s">
        <v>65</v>
      </c>
      <c r="G15" t="s">
        <v>66</v>
      </c>
      <c r="H15">
        <v>5</v>
      </c>
      <c r="I15">
        <v>10</v>
      </c>
    </row>
    <row r="16" spans="1:9" x14ac:dyDescent="0.25">
      <c r="A16" t="s">
        <v>72</v>
      </c>
      <c r="B16" s="1" t="str">
        <f>VLOOKUP(Table2[[#This Row],[Mouser Part Number]],Map!H16:H71,1)</f>
        <v>673-H1102NL</v>
      </c>
      <c r="C16" t="s">
        <v>69</v>
      </c>
      <c r="G16" t="s">
        <v>71</v>
      </c>
      <c r="H16">
        <v>5</v>
      </c>
      <c r="I16">
        <v>11</v>
      </c>
    </row>
    <row r="17" spans="1:9" x14ac:dyDescent="0.25">
      <c r="A17" t="s">
        <v>77</v>
      </c>
      <c r="B17" s="1" t="str">
        <f>VLOOKUP(Table2[[#This Row],[Mouser Part Number]],Map!H17:H72,1)</f>
        <v>673-H1102NL</v>
      </c>
      <c r="C17" t="s">
        <v>74</v>
      </c>
      <c r="G17" t="s">
        <v>76</v>
      </c>
      <c r="H17">
        <v>5</v>
      </c>
      <c r="I17">
        <v>12</v>
      </c>
    </row>
    <row r="18" spans="1:9" x14ac:dyDescent="0.25">
      <c r="A18" t="s">
        <v>82</v>
      </c>
      <c r="B18" s="1" t="str">
        <f>VLOOKUP(Table2[[#This Row],[Mouser Part Number]],Map!H18:H73,1)</f>
        <v>603-AC0603FR-13470RL</v>
      </c>
      <c r="C18" t="s">
        <v>79</v>
      </c>
      <c r="G18" t="s">
        <v>81</v>
      </c>
      <c r="H18">
        <v>5</v>
      </c>
      <c r="I18">
        <v>36</v>
      </c>
    </row>
    <row r="19" spans="1:9" x14ac:dyDescent="0.25">
      <c r="A19" t="s">
        <v>87</v>
      </c>
      <c r="B19" s="1" t="str">
        <f>VLOOKUP(Table2[[#This Row],[Mouser Part Number]],Map!H19:H74,1)</f>
        <v>200-TSW10523TD</v>
      </c>
      <c r="C19" t="s">
        <v>84</v>
      </c>
      <c r="G19" t="s">
        <v>86</v>
      </c>
      <c r="H19">
        <v>5</v>
      </c>
      <c r="I19">
        <v>13</v>
      </c>
    </row>
    <row r="20" spans="1:9" x14ac:dyDescent="0.25">
      <c r="A20" t="s">
        <v>92</v>
      </c>
      <c r="B20" s="1" t="str">
        <f>VLOOKUP(Table2[[#This Row],[Mouser Part Number]],Map!H20:H75,1)</f>
        <v>611-PCM12SMTBR</v>
      </c>
      <c r="C20" t="s">
        <v>89</v>
      </c>
      <c r="G20" t="s">
        <v>91</v>
      </c>
      <c r="H20">
        <v>5</v>
      </c>
      <c r="I20">
        <v>14</v>
      </c>
    </row>
    <row r="21" spans="1:9" x14ac:dyDescent="0.25">
      <c r="A21" t="s">
        <v>97</v>
      </c>
      <c r="B21" s="1" t="str">
        <f>VLOOKUP(Table2[[#This Row],[Mouser Part Number]],Map!H21:H76,1)</f>
        <v>200-TSW10523TD</v>
      </c>
      <c r="C21" t="s">
        <v>94</v>
      </c>
      <c r="G21" t="s">
        <v>96</v>
      </c>
      <c r="H21">
        <v>5</v>
      </c>
      <c r="I21">
        <v>15</v>
      </c>
    </row>
    <row r="22" spans="1:9" x14ac:dyDescent="0.25">
      <c r="A22" t="s">
        <v>102</v>
      </c>
      <c r="B22" s="1" t="str">
        <f>VLOOKUP(Table2[[#This Row],[Mouser Part Number]],Map!H22:H77,1)</f>
        <v>815-ABLS25.MHZDFT</v>
      </c>
      <c r="C22" t="s">
        <v>99</v>
      </c>
      <c r="G22" t="s">
        <v>101</v>
      </c>
      <c r="H22">
        <v>5</v>
      </c>
      <c r="I22">
        <v>16</v>
      </c>
    </row>
    <row r="23" spans="1:9" x14ac:dyDescent="0.25">
      <c r="A23" t="s">
        <v>107</v>
      </c>
      <c r="B23" s="1" t="str">
        <f>VLOOKUP(Table2[[#This Row],[Mouser Part Number]],Map!H23:H78,1)</f>
        <v>200-TMM10501TSSM</v>
      </c>
      <c r="C23" t="s">
        <v>104</v>
      </c>
      <c r="G23" t="s">
        <v>106</v>
      </c>
      <c r="H23">
        <v>5</v>
      </c>
      <c r="I23">
        <v>22</v>
      </c>
    </row>
    <row r="24" spans="1:9" x14ac:dyDescent="0.25">
      <c r="A24" t="s">
        <v>112</v>
      </c>
      <c r="B24" s="1" t="str">
        <f>VLOOKUP(Table2[[#This Row],[Mouser Part Number]],Map!H24:H79,1)</f>
        <v>279-CRG0603F33R</v>
      </c>
      <c r="C24" t="s">
        <v>109</v>
      </c>
      <c r="G24" t="s">
        <v>111</v>
      </c>
      <c r="H24">
        <v>5</v>
      </c>
      <c r="I24">
        <v>23</v>
      </c>
    </row>
    <row r="25" spans="1:9" x14ac:dyDescent="0.25">
      <c r="A25" t="s">
        <v>117</v>
      </c>
      <c r="B25" s="1" t="str">
        <f>VLOOKUP(Table2[[#This Row],[Mouser Part Number]],Map!H25:H80,1)</f>
        <v>200-TMM10501TSSM</v>
      </c>
      <c r="C25" t="s">
        <v>114</v>
      </c>
      <c r="G25" t="s">
        <v>116</v>
      </c>
      <c r="H25">
        <v>5</v>
      </c>
      <c r="I25">
        <v>38</v>
      </c>
    </row>
    <row r="26" spans="1:9" x14ac:dyDescent="0.25">
      <c r="A26" t="s">
        <v>122</v>
      </c>
      <c r="B26" s="1" t="str">
        <f>VLOOKUP(Table2[[#This Row],[Mouser Part Number]],Map!H26:H81,1)</f>
        <v>200-TSW10523TD</v>
      </c>
      <c r="C26" t="s">
        <v>119</v>
      </c>
      <c r="G26" t="s">
        <v>121</v>
      </c>
      <c r="H26">
        <v>5</v>
      </c>
      <c r="I26">
        <v>39</v>
      </c>
    </row>
    <row r="27" spans="1:9" x14ac:dyDescent="0.25">
      <c r="A27" t="s">
        <v>127</v>
      </c>
      <c r="B27" s="1" t="str">
        <f>VLOOKUP(Table2[[#This Row],[Mouser Part Number]],Map!H27:H82,1)</f>
        <v>815-ABLS25.MHZDFT</v>
      </c>
      <c r="C27" t="s">
        <v>124</v>
      </c>
      <c r="G27" t="s">
        <v>126</v>
      </c>
      <c r="H27">
        <v>5</v>
      </c>
      <c r="I27">
        <v>35</v>
      </c>
    </row>
    <row r="28" spans="1:9" x14ac:dyDescent="0.25">
      <c r="A28" t="s">
        <v>132</v>
      </c>
      <c r="B28" s="1" t="str">
        <f>VLOOKUP(Table2[[#This Row],[Mouser Part Number]],Map!H28:H83,1)</f>
        <v>200-TSW10523TD</v>
      </c>
      <c r="C28" t="s">
        <v>129</v>
      </c>
      <c r="G28" t="s">
        <v>131</v>
      </c>
      <c r="H28">
        <v>5</v>
      </c>
      <c r="I28">
        <v>30</v>
      </c>
    </row>
    <row r="29" spans="1:9" x14ac:dyDescent="0.25">
      <c r="A29" t="s">
        <v>137</v>
      </c>
      <c r="B29" s="1" t="str">
        <f>VLOOKUP(Table2[[#This Row],[Mouser Part Number]],Map!H29:H84,1)</f>
        <v>815-ABLS25.MHZDFT</v>
      </c>
      <c r="C29" t="s">
        <v>134</v>
      </c>
      <c r="G29" t="s">
        <v>136</v>
      </c>
      <c r="H29">
        <v>5</v>
      </c>
      <c r="I29">
        <v>37</v>
      </c>
    </row>
    <row r="30" spans="1:9" x14ac:dyDescent="0.25">
      <c r="A30" t="s">
        <v>142</v>
      </c>
      <c r="B30" s="1" t="str">
        <f>VLOOKUP(Table2[[#This Row],[Mouser Part Number]],Map!H30:H85,1)</f>
        <v>200-TSW10523TD</v>
      </c>
      <c r="C30" t="s">
        <v>139</v>
      </c>
      <c r="G30" t="s">
        <v>141</v>
      </c>
      <c r="H30">
        <v>5</v>
      </c>
      <c r="I30">
        <v>19</v>
      </c>
    </row>
    <row r="31" spans="1:9" x14ac:dyDescent="0.25">
      <c r="A31" t="s">
        <v>147</v>
      </c>
      <c r="B31" s="1" t="e">
        <f>VLOOKUP(Table2[[#This Row],[Mouser Part Number]],Map!H31:H86,1)</f>
        <v>#N/A</v>
      </c>
      <c r="C31" t="s">
        <v>144</v>
      </c>
      <c r="G31" t="s">
        <v>146</v>
      </c>
      <c r="H31">
        <v>10</v>
      </c>
      <c r="I31">
        <v>24</v>
      </c>
    </row>
    <row r="32" spans="1:9" x14ac:dyDescent="0.25">
      <c r="A32" t="s">
        <v>152</v>
      </c>
      <c r="B32" s="1" t="str">
        <f>VLOOKUP(Table2[[#This Row],[Mouser Part Number]],Map!H32:H87,1)</f>
        <v>611-PCM12SMTBR</v>
      </c>
      <c r="C32" t="s">
        <v>149</v>
      </c>
      <c r="G32" t="s">
        <v>151</v>
      </c>
      <c r="H32">
        <v>5</v>
      </c>
      <c r="I32">
        <v>29</v>
      </c>
    </row>
    <row r="33" spans="1:9" x14ac:dyDescent="0.25">
      <c r="A33" t="s">
        <v>157</v>
      </c>
      <c r="B33" s="1" t="e">
        <f>VLOOKUP(Table2[[#This Row],[Mouser Part Number]],Map!H33:H88,1)</f>
        <v>#N/A</v>
      </c>
      <c r="C33" t="s">
        <v>154</v>
      </c>
      <c r="G33" t="s">
        <v>156</v>
      </c>
      <c r="H33">
        <v>5</v>
      </c>
      <c r="I33">
        <v>17</v>
      </c>
    </row>
    <row r="34" spans="1:9" x14ac:dyDescent="0.25">
      <c r="A34" t="s">
        <v>162</v>
      </c>
      <c r="B34" s="1" t="e">
        <f>VLOOKUP(Table2[[#This Row],[Mouser Part Number]],Map!H34:H89,1)</f>
        <v>#N/A</v>
      </c>
      <c r="C34" t="s">
        <v>159</v>
      </c>
      <c r="G34" t="s">
        <v>161</v>
      </c>
      <c r="H34">
        <v>10</v>
      </c>
      <c r="I34">
        <v>28</v>
      </c>
    </row>
    <row r="35" spans="1:9" x14ac:dyDescent="0.25">
      <c r="A35" t="s">
        <v>166</v>
      </c>
      <c r="B35" s="1" t="e">
        <f>VLOOKUP(Table2[[#This Row],[Mouser Part Number]],Map!H35:H90,1)</f>
        <v>#N/A</v>
      </c>
      <c r="C35" t="s">
        <v>164</v>
      </c>
      <c r="G35" t="s">
        <v>165</v>
      </c>
      <c r="H35">
        <v>5</v>
      </c>
      <c r="I35">
        <v>19</v>
      </c>
    </row>
    <row r="36" spans="1:9" x14ac:dyDescent="0.25">
      <c r="A36" t="s">
        <v>169</v>
      </c>
      <c r="B36" s="1" t="str">
        <f>VLOOKUP(Table2[[#This Row],[Mouser Part Number]],Map!H36:H91,1)</f>
        <v>815-ABLS25.MHZDFT</v>
      </c>
      <c r="C36" t="s">
        <v>11</v>
      </c>
      <c r="G36" t="s">
        <v>146</v>
      </c>
      <c r="H36">
        <v>10</v>
      </c>
      <c r="I36">
        <v>32</v>
      </c>
    </row>
    <row r="37" spans="1:9" x14ac:dyDescent="0.25">
      <c r="A37" t="s">
        <v>174</v>
      </c>
      <c r="B37" s="1" t="str">
        <f>VLOOKUP(Table2[[#This Row],[Mouser Part Number]],Map!H37:H92,1)</f>
        <v>673-H1102NL</v>
      </c>
      <c r="C37" t="s">
        <v>171</v>
      </c>
      <c r="G37" t="s">
        <v>173</v>
      </c>
      <c r="H37">
        <v>5</v>
      </c>
      <c r="I37">
        <v>31</v>
      </c>
    </row>
    <row r="38" spans="1:9" x14ac:dyDescent="0.25">
      <c r="A38" t="s">
        <v>178</v>
      </c>
      <c r="B38" s="1" t="str">
        <f>VLOOKUP(Table2[[#This Row],[Mouser Part Number]],Map!H38:H93,1)</f>
        <v>673-H1102NL</v>
      </c>
      <c r="C38" t="s">
        <v>176</v>
      </c>
      <c r="G38" t="s">
        <v>177</v>
      </c>
      <c r="H38">
        <v>5</v>
      </c>
      <c r="I38">
        <v>33</v>
      </c>
    </row>
    <row r="39" spans="1:9" x14ac:dyDescent="0.25">
      <c r="A39" t="s">
        <v>183</v>
      </c>
      <c r="B39" s="1" t="str">
        <f>VLOOKUP(Table2[[#This Row],[Mouser Part Number]],Map!H39:H94,1)</f>
        <v>815-ABLS25.MHZDFT</v>
      </c>
      <c r="C39" t="s">
        <v>180</v>
      </c>
      <c r="G39" t="s">
        <v>182</v>
      </c>
      <c r="H39">
        <v>5</v>
      </c>
      <c r="I39">
        <v>34</v>
      </c>
    </row>
    <row r="40" spans="1:9" x14ac:dyDescent="0.25">
      <c r="A40" t="s">
        <v>192</v>
      </c>
      <c r="B40" s="1" t="e">
        <f>VLOOKUP(Table2[[#This Row],[Mouser Part Number]],Map!H40:H95,1)</f>
        <v>#N/A</v>
      </c>
      <c r="C40" t="s">
        <v>189</v>
      </c>
      <c r="G40" t="s">
        <v>191</v>
      </c>
      <c r="H40">
        <v>5</v>
      </c>
      <c r="I40">
        <v>26</v>
      </c>
    </row>
    <row r="41" spans="1:9" x14ac:dyDescent="0.25">
      <c r="A41" t="s">
        <v>197</v>
      </c>
      <c r="B41" s="1" t="str">
        <f>VLOOKUP(Table2[[#This Row],[Mouser Part Number]],Map!H41:H96,1)</f>
        <v>603-AC0603FR-13470RL</v>
      </c>
      <c r="C41" t="s">
        <v>194</v>
      </c>
      <c r="G41" t="s">
        <v>196</v>
      </c>
      <c r="H41">
        <v>10</v>
      </c>
      <c r="I41">
        <v>51</v>
      </c>
    </row>
    <row r="42" spans="1:9" x14ac:dyDescent="0.25">
      <c r="A42" t="s">
        <v>201</v>
      </c>
      <c r="B42" s="1" t="str">
        <f>VLOOKUP(Table2[[#This Row],[Mouser Part Number]],Map!H42:H97,1)</f>
        <v>603-AC0603FR-13470RL</v>
      </c>
      <c r="C42" t="s">
        <v>199</v>
      </c>
      <c r="G42" t="s">
        <v>200</v>
      </c>
      <c r="H42">
        <v>5</v>
      </c>
      <c r="I42">
        <v>55</v>
      </c>
    </row>
    <row r="43" spans="1:9" x14ac:dyDescent="0.25">
      <c r="A43" t="s">
        <v>204</v>
      </c>
      <c r="B43" s="1" t="str">
        <f>VLOOKUP(Table2[[#This Row],[Mouser Part Number]],Map!H43:H98,1)</f>
        <v>603-AC0603FR-0712K4L</v>
      </c>
      <c r="C43" t="s">
        <v>203</v>
      </c>
      <c r="G43" t="s">
        <v>196</v>
      </c>
      <c r="H43">
        <v>5</v>
      </c>
      <c r="I43">
        <v>52</v>
      </c>
    </row>
    <row r="44" spans="1:9" x14ac:dyDescent="0.25">
      <c r="A44" t="s">
        <v>208</v>
      </c>
      <c r="B44" s="1" t="str">
        <f>VLOOKUP(Table2[[#This Row],[Mouser Part Number]],Map!H44:H99,1)</f>
        <v>603-AC0603FR-13470RL</v>
      </c>
      <c r="C44" t="s">
        <v>206</v>
      </c>
      <c r="G44" t="s">
        <v>207</v>
      </c>
      <c r="H44">
        <v>5</v>
      </c>
      <c r="I44">
        <v>49</v>
      </c>
    </row>
    <row r="45" spans="1:9" x14ac:dyDescent="0.25">
      <c r="A45" t="s">
        <v>212</v>
      </c>
      <c r="B45" s="1" t="str">
        <f>VLOOKUP(Table2[[#This Row],[Mouser Part Number]],Map!H45:H100,1)</f>
        <v>603-AC0603FR-13470RL</v>
      </c>
      <c r="C45" t="s">
        <v>210</v>
      </c>
      <c r="G45" t="s">
        <v>211</v>
      </c>
      <c r="H45">
        <v>5</v>
      </c>
      <c r="I45">
        <v>54</v>
      </c>
    </row>
    <row r="46" spans="1:9" x14ac:dyDescent="0.25">
      <c r="A46" t="s">
        <v>215</v>
      </c>
      <c r="B46" s="1" t="str">
        <f>VLOOKUP(Table2[[#This Row],[Mouser Part Number]],Map!H46:H101,1)</f>
        <v>603-AC0603FR-13470RL</v>
      </c>
      <c r="C46" t="s">
        <v>214</v>
      </c>
      <c r="G46" t="s">
        <v>211</v>
      </c>
      <c r="H46">
        <v>20</v>
      </c>
      <c r="I46">
        <v>46</v>
      </c>
    </row>
    <row r="47" spans="1:9" x14ac:dyDescent="0.25">
      <c r="A47" t="s">
        <v>219</v>
      </c>
      <c r="B47" s="1" t="e">
        <f>VLOOKUP(Table2[[#This Row],[Mouser Part Number]],Map!H47:H102,1)</f>
        <v>#N/A</v>
      </c>
      <c r="C47" t="s">
        <v>217</v>
      </c>
      <c r="G47" t="s">
        <v>218</v>
      </c>
      <c r="H47">
        <v>20</v>
      </c>
      <c r="I47">
        <v>43</v>
      </c>
    </row>
    <row r="48" spans="1:9" x14ac:dyDescent="0.25">
      <c r="A48" t="s">
        <v>223</v>
      </c>
      <c r="B48" s="1" t="str">
        <f>VLOOKUP(Table2[[#This Row],[Mouser Part Number]],Map!H48:H103,1)</f>
        <v>603-AC0603FR-13470RL</v>
      </c>
      <c r="C48" t="s">
        <v>221</v>
      </c>
      <c r="G48" t="s">
        <v>222</v>
      </c>
      <c r="H48">
        <v>10</v>
      </c>
      <c r="I48">
        <v>41</v>
      </c>
    </row>
    <row r="49" spans="1:9" x14ac:dyDescent="0.25">
      <c r="A49" t="s">
        <v>226</v>
      </c>
      <c r="B49" s="1" t="str">
        <f>VLOOKUP(Table2[[#This Row],[Mouser Part Number]],Map!H49:H104,1)</f>
        <v>603-AC0603FR-13470RL</v>
      </c>
      <c r="C49" t="s">
        <v>225</v>
      </c>
      <c r="G49" t="s">
        <v>218</v>
      </c>
      <c r="H49">
        <v>5</v>
      </c>
      <c r="I49">
        <v>40</v>
      </c>
    </row>
    <row r="50" spans="1:9" x14ac:dyDescent="0.25">
      <c r="A50" t="s">
        <v>230</v>
      </c>
      <c r="B50" s="1" t="str">
        <f>VLOOKUP(Table2[[#This Row],[Mouser Part Number]],Map!H50:H105,1)</f>
        <v>603-AC0603FR-13470RL</v>
      </c>
      <c r="C50" t="s">
        <v>228</v>
      </c>
      <c r="G50" t="s">
        <v>229</v>
      </c>
      <c r="H50">
        <v>10</v>
      </c>
      <c r="I50">
        <v>50</v>
      </c>
    </row>
    <row r="51" spans="1:9" x14ac:dyDescent="0.25">
      <c r="A51" t="s">
        <v>233</v>
      </c>
      <c r="B51" s="1" t="str">
        <f>VLOOKUP(Table2[[#This Row],[Mouser Part Number]],Map!H51:H106,1)</f>
        <v>279-CRG0603F33R</v>
      </c>
      <c r="C51" t="s">
        <v>232</v>
      </c>
      <c r="G51" t="s">
        <v>218</v>
      </c>
      <c r="H51">
        <v>5</v>
      </c>
      <c r="I51">
        <v>47</v>
      </c>
    </row>
    <row r="52" spans="1:9" x14ac:dyDescent="0.25">
      <c r="A52" t="s">
        <v>236</v>
      </c>
      <c r="B52" s="1" t="str">
        <f>VLOOKUP(Table2[[#This Row],[Mouser Part Number]],Map!H52:H107,1)</f>
        <v>603-AC0603FR-13470RL</v>
      </c>
      <c r="C52" t="s">
        <v>235</v>
      </c>
      <c r="G52" t="s">
        <v>211</v>
      </c>
      <c r="H52">
        <v>5</v>
      </c>
      <c r="I52">
        <v>53</v>
      </c>
    </row>
    <row r="53" spans="1:9" x14ac:dyDescent="0.25">
      <c r="A53" t="s">
        <v>239</v>
      </c>
      <c r="B53" s="1" t="str">
        <f>VLOOKUP(Table2[[#This Row],[Mouser Part Number]],Map!H53:H108,1)</f>
        <v>603-AC0603FR-13470RL</v>
      </c>
      <c r="C53">
        <v>0</v>
      </c>
      <c r="G53" t="s">
        <v>238</v>
      </c>
      <c r="H53">
        <v>5</v>
      </c>
      <c r="I53">
        <v>48</v>
      </c>
    </row>
    <row r="54" spans="1:9" x14ac:dyDescent="0.25">
      <c r="A54" t="s">
        <v>243</v>
      </c>
      <c r="B54" s="1" t="e">
        <f>VLOOKUP(Table2[[#This Row],[Mouser Part Number]],Map!H54:H109,1)</f>
        <v>#N/A</v>
      </c>
      <c r="C54" t="s">
        <v>241</v>
      </c>
      <c r="G54" t="s">
        <v>242</v>
      </c>
      <c r="H54">
        <v>20</v>
      </c>
      <c r="I54">
        <v>44</v>
      </c>
    </row>
    <row r="55" spans="1:9" x14ac:dyDescent="0.25">
      <c r="A55" t="s">
        <v>247</v>
      </c>
      <c r="B55" s="1" t="e">
        <f>VLOOKUP(Table2[[#This Row],[Mouser Part Number]],Map!H55:H110,1)</f>
        <v>#N/A</v>
      </c>
      <c r="C55" t="s">
        <v>245</v>
      </c>
      <c r="G55" t="s">
        <v>246</v>
      </c>
      <c r="H55">
        <v>10</v>
      </c>
      <c r="I55">
        <v>45</v>
      </c>
    </row>
    <row r="56" spans="1:9" x14ac:dyDescent="0.25">
      <c r="A56" t="s">
        <v>251</v>
      </c>
      <c r="B56" s="1" t="e">
        <f>VLOOKUP(Table2[[#This Row],[Mouser Part Number]],Map!H56:H111,1)</f>
        <v>#N/A</v>
      </c>
      <c r="C56" t="s">
        <v>249</v>
      </c>
      <c r="G56" t="s">
        <v>250</v>
      </c>
      <c r="H56">
        <v>10</v>
      </c>
      <c r="I56">
        <v>42</v>
      </c>
    </row>
    <row r="57" spans="1:9" x14ac:dyDescent="0.25">
      <c r="A57" t="s">
        <v>255</v>
      </c>
      <c r="B57" s="1" t="e">
        <f>VLOOKUP(Table2[[#This Row],[Mouser Part Number]],Map!H57:H112,1)</f>
        <v>#N/A</v>
      </c>
      <c r="C57" t="s">
        <v>253</v>
      </c>
      <c r="G57" t="s">
        <v>254</v>
      </c>
      <c r="H57">
        <v>5</v>
      </c>
      <c r="I57">
        <v>21</v>
      </c>
    </row>
    <row r="58" spans="1:9" x14ac:dyDescent="0.25">
      <c r="A58" t="s">
        <v>260</v>
      </c>
      <c r="B58" s="1" t="e">
        <f>VLOOKUP(Table2[[#This Row],[Mouser Part Number]],Map!H58:H113,1)</f>
        <v>#N/A</v>
      </c>
      <c r="C58" t="s">
        <v>257</v>
      </c>
      <c r="G58" t="s">
        <v>259</v>
      </c>
      <c r="H58">
        <v>5</v>
      </c>
      <c r="I58">
        <v>18</v>
      </c>
    </row>
    <row r="59" spans="1:9" x14ac:dyDescent="0.25">
      <c r="A59" t="s">
        <v>265</v>
      </c>
      <c r="B59" s="1" t="e">
        <f>VLOOKUP(Table2[[#This Row],[Mouser Part Number]],Map!H59:H114,1)</f>
        <v>#N/A</v>
      </c>
      <c r="C59" t="s">
        <v>262</v>
      </c>
      <c r="G59" t="s">
        <v>264</v>
      </c>
      <c r="H59">
        <v>5</v>
      </c>
      <c r="I59">
        <v>20</v>
      </c>
    </row>
    <row r="60" spans="1:9" x14ac:dyDescent="0.25">
      <c r="A60" t="s">
        <v>269</v>
      </c>
      <c r="B60" s="1" t="e">
        <f>VLOOKUP(Table2[[#This Row],[Mouser Part Number]],Map!H60:H115,1)</f>
        <v>#N/A</v>
      </c>
      <c r="C60" t="s">
        <v>267</v>
      </c>
      <c r="G60" t="s">
        <v>264</v>
      </c>
      <c r="H60">
        <v>5</v>
      </c>
      <c r="I60">
        <v>27</v>
      </c>
    </row>
    <row r="61" spans="1:9" x14ac:dyDescent="0.25">
      <c r="B61" t="s">
        <v>272</v>
      </c>
      <c r="H61">
        <v>50</v>
      </c>
    </row>
    <row r="62" spans="1:9" x14ac:dyDescent="0.25">
      <c r="B62" t="s">
        <v>275</v>
      </c>
      <c r="H62">
        <v>25</v>
      </c>
    </row>
    <row r="63" spans="1:9" x14ac:dyDescent="0.25">
      <c r="B63" t="s">
        <v>276</v>
      </c>
      <c r="H63">
        <v>25</v>
      </c>
    </row>
    <row r="64" spans="1:9" x14ac:dyDescent="0.25">
      <c r="B64" t="s">
        <v>281</v>
      </c>
      <c r="H64">
        <v>50</v>
      </c>
    </row>
    <row r="65" spans="2:8" x14ac:dyDescent="0.25">
      <c r="B65" t="s">
        <v>284</v>
      </c>
      <c r="H65">
        <v>50</v>
      </c>
    </row>
    <row r="66" spans="2:8" x14ac:dyDescent="0.25">
      <c r="B66" t="s">
        <v>286</v>
      </c>
      <c r="H66">
        <v>50</v>
      </c>
    </row>
    <row r="67" spans="2:8" x14ac:dyDescent="0.25">
      <c r="B67" t="s">
        <v>278</v>
      </c>
      <c r="H67">
        <v>50</v>
      </c>
    </row>
    <row r="68" spans="2:8" x14ac:dyDescent="0.25">
      <c r="B68" t="s">
        <v>282</v>
      </c>
      <c r="H68">
        <v>50</v>
      </c>
    </row>
    <row r="69" spans="2:8" x14ac:dyDescent="0.25">
      <c r="B69" t="s">
        <v>280</v>
      </c>
      <c r="H69">
        <v>25</v>
      </c>
    </row>
    <row r="70" spans="2:8" x14ac:dyDescent="0.25">
      <c r="B70" t="s">
        <v>283</v>
      </c>
      <c r="H70">
        <v>100</v>
      </c>
    </row>
    <row r="71" spans="2:8" x14ac:dyDescent="0.25">
      <c r="B71" t="s">
        <v>285</v>
      </c>
      <c r="H71">
        <v>50</v>
      </c>
    </row>
  </sheetData>
  <pageMargins left="0.7" right="0.7" top="0.75" bottom="0.75" header="0.3" footer="0.3"/>
  <pageSetup paperSize="9" orientation="landscape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D478-CA16-484D-A564-A0B4FD05AB0A}">
  <dimension ref="A1:R57"/>
  <sheetViews>
    <sheetView workbookViewId="0">
      <selection activeCell="H28" sqref="H28"/>
    </sheetView>
  </sheetViews>
  <sheetFormatPr defaultRowHeight="15" x14ac:dyDescent="0.25"/>
  <cols>
    <col min="1" max="1" width="28.140625" customWidth="1"/>
    <col min="8" max="8" width="23.42578125" bestFit="1" customWidth="1"/>
  </cols>
  <sheetData>
    <row r="1" spans="1:18" x14ac:dyDescent="0.25">
      <c r="A1" s="1" t="s">
        <v>297</v>
      </c>
      <c r="B1" s="1" t="s">
        <v>290</v>
      </c>
      <c r="C1" s="2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298</v>
      </c>
      <c r="J1" s="2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</row>
    <row r="2" spans="1:18" x14ac:dyDescent="0.25">
      <c r="A2" s="1" t="s">
        <v>314</v>
      </c>
      <c r="B2" s="1" t="s">
        <v>308</v>
      </c>
      <c r="C2" s="2" t="s">
        <v>309</v>
      </c>
      <c r="D2" s="1" t="s">
        <v>309</v>
      </c>
      <c r="E2" s="1" t="s">
        <v>310</v>
      </c>
      <c r="F2" s="1" t="s">
        <v>311</v>
      </c>
      <c r="G2" s="1" t="s">
        <v>312</v>
      </c>
      <c r="H2" s="1" t="s">
        <v>313</v>
      </c>
      <c r="I2" s="1" t="s">
        <v>315</v>
      </c>
      <c r="J2" s="2" t="s">
        <v>316</v>
      </c>
      <c r="K2" s="1" t="s">
        <v>317</v>
      </c>
      <c r="L2" s="1" t="s">
        <v>318</v>
      </c>
      <c r="M2" s="1" t="s">
        <v>318</v>
      </c>
      <c r="N2" s="1" t="s">
        <v>319</v>
      </c>
      <c r="O2" s="1" t="s">
        <v>320</v>
      </c>
      <c r="P2" s="1" t="s">
        <v>321</v>
      </c>
      <c r="Q2" s="1" t="s">
        <v>316</v>
      </c>
      <c r="R2" s="1" t="s">
        <v>316</v>
      </c>
    </row>
    <row r="3" spans="1:18" x14ac:dyDescent="0.25">
      <c r="A3" s="1" t="s">
        <v>323</v>
      </c>
      <c r="B3" s="1" t="s">
        <v>308</v>
      </c>
      <c r="C3" s="2" t="s">
        <v>309</v>
      </c>
      <c r="D3" s="1" t="s">
        <v>309</v>
      </c>
      <c r="E3" s="1" t="s">
        <v>322</v>
      </c>
      <c r="F3" s="1" t="s">
        <v>311</v>
      </c>
      <c r="G3" s="1" t="s">
        <v>312</v>
      </c>
      <c r="H3" s="1" t="s">
        <v>14</v>
      </c>
      <c r="I3" s="1" t="s">
        <v>324</v>
      </c>
      <c r="J3" s="2" t="s">
        <v>316</v>
      </c>
      <c r="K3" s="1" t="s">
        <v>325</v>
      </c>
      <c r="L3" s="1" t="s">
        <v>326</v>
      </c>
      <c r="M3" s="1" t="s">
        <v>326</v>
      </c>
      <c r="N3" s="1" t="s">
        <v>327</v>
      </c>
      <c r="O3" s="1" t="s">
        <v>320</v>
      </c>
      <c r="P3" s="1" t="s">
        <v>321</v>
      </c>
      <c r="Q3" s="1" t="s">
        <v>316</v>
      </c>
      <c r="R3" s="1" t="s">
        <v>316</v>
      </c>
    </row>
    <row r="4" spans="1:18" x14ac:dyDescent="0.25">
      <c r="A4" s="1" t="s">
        <v>329</v>
      </c>
      <c r="B4" s="1" t="s">
        <v>308</v>
      </c>
      <c r="C4" s="2" t="s">
        <v>309</v>
      </c>
      <c r="D4" s="1" t="s">
        <v>309</v>
      </c>
      <c r="E4" s="1" t="s">
        <v>328</v>
      </c>
      <c r="F4" s="1" t="s">
        <v>311</v>
      </c>
      <c r="G4" s="1" t="s">
        <v>312</v>
      </c>
      <c r="H4" s="1" t="s">
        <v>18</v>
      </c>
      <c r="I4" s="1" t="s">
        <v>330</v>
      </c>
      <c r="J4" s="2" t="s">
        <v>316</v>
      </c>
      <c r="K4" s="1" t="s">
        <v>325</v>
      </c>
      <c r="L4" s="1" t="s">
        <v>331</v>
      </c>
      <c r="M4" s="1" t="s">
        <v>331</v>
      </c>
      <c r="N4" s="1" t="s">
        <v>327</v>
      </c>
      <c r="O4" s="1" t="s">
        <v>320</v>
      </c>
      <c r="P4" s="1" t="s">
        <v>321</v>
      </c>
      <c r="Q4" s="1" t="s">
        <v>316</v>
      </c>
      <c r="R4" s="1" t="s">
        <v>316</v>
      </c>
    </row>
    <row r="5" spans="1:18" x14ac:dyDescent="0.25">
      <c r="A5" s="1" t="s">
        <v>333</v>
      </c>
      <c r="B5" s="1" t="s">
        <v>308</v>
      </c>
      <c r="C5" s="2" t="s">
        <v>309</v>
      </c>
      <c r="D5" s="1" t="s">
        <v>309</v>
      </c>
      <c r="E5" s="1" t="s">
        <v>332</v>
      </c>
      <c r="F5" s="1" t="s">
        <v>311</v>
      </c>
      <c r="G5" s="1" t="s">
        <v>312</v>
      </c>
      <c r="H5" s="1" t="s">
        <v>22</v>
      </c>
      <c r="I5" s="1" t="s">
        <v>334</v>
      </c>
      <c r="J5" s="2" t="s">
        <v>316</v>
      </c>
      <c r="K5" s="1" t="s">
        <v>335</v>
      </c>
      <c r="L5" s="1" t="s">
        <v>336</v>
      </c>
      <c r="M5" s="1" t="s">
        <v>336</v>
      </c>
      <c r="N5" s="1" t="s">
        <v>337</v>
      </c>
      <c r="O5" s="1" t="s">
        <v>320</v>
      </c>
      <c r="P5" s="1" t="s">
        <v>321</v>
      </c>
      <c r="Q5" s="1" t="s">
        <v>316</v>
      </c>
      <c r="R5" s="1" t="s">
        <v>316</v>
      </c>
    </row>
    <row r="6" spans="1:18" x14ac:dyDescent="0.25">
      <c r="A6" s="1" t="s">
        <v>339</v>
      </c>
      <c r="B6" s="1" t="s">
        <v>308</v>
      </c>
      <c r="C6" s="2" t="s">
        <v>309</v>
      </c>
      <c r="D6" s="1" t="s">
        <v>309</v>
      </c>
      <c r="E6" s="1" t="s">
        <v>338</v>
      </c>
      <c r="F6" s="1" t="s">
        <v>311</v>
      </c>
      <c r="G6" s="1" t="s">
        <v>312</v>
      </c>
      <c r="H6" s="1" t="s">
        <v>27</v>
      </c>
      <c r="I6" s="1" t="s">
        <v>340</v>
      </c>
      <c r="J6" s="2" t="s">
        <v>316</v>
      </c>
      <c r="K6" s="1" t="s">
        <v>338</v>
      </c>
      <c r="L6" s="1" t="s">
        <v>341</v>
      </c>
      <c r="M6" s="1" t="s">
        <v>341</v>
      </c>
      <c r="N6" s="1" t="s">
        <v>342</v>
      </c>
      <c r="O6" s="1" t="s">
        <v>320</v>
      </c>
      <c r="P6" s="1" t="s">
        <v>321</v>
      </c>
      <c r="Q6" s="1" t="s">
        <v>316</v>
      </c>
      <c r="R6" s="1" t="s">
        <v>316</v>
      </c>
    </row>
    <row r="7" spans="1:18" x14ac:dyDescent="0.25">
      <c r="A7" s="1" t="s">
        <v>344</v>
      </c>
      <c r="B7" s="1" t="s">
        <v>308</v>
      </c>
      <c r="C7" s="2" t="s">
        <v>309</v>
      </c>
      <c r="D7" s="1" t="s">
        <v>309</v>
      </c>
      <c r="E7" s="1" t="s">
        <v>343</v>
      </c>
      <c r="F7" s="1" t="s">
        <v>311</v>
      </c>
      <c r="G7" s="1" t="s">
        <v>312</v>
      </c>
      <c r="H7" s="1" t="s">
        <v>31</v>
      </c>
      <c r="I7" s="1" t="s">
        <v>345</v>
      </c>
      <c r="J7" s="2" t="s">
        <v>316</v>
      </c>
      <c r="K7" s="1" t="s">
        <v>346</v>
      </c>
      <c r="L7" s="1" t="s">
        <v>347</v>
      </c>
      <c r="M7" s="1" t="s">
        <v>347</v>
      </c>
      <c r="N7" s="1" t="s">
        <v>348</v>
      </c>
      <c r="O7" s="1" t="s">
        <v>320</v>
      </c>
      <c r="P7" s="1" t="s">
        <v>321</v>
      </c>
      <c r="Q7" s="1" t="s">
        <v>316</v>
      </c>
      <c r="R7" s="1" t="s">
        <v>316</v>
      </c>
    </row>
    <row r="8" spans="1:18" x14ac:dyDescent="0.25">
      <c r="A8" s="1" t="s">
        <v>350</v>
      </c>
      <c r="B8" s="1" t="s">
        <v>308</v>
      </c>
      <c r="C8" s="2" t="s">
        <v>309</v>
      </c>
      <c r="D8" s="1" t="s">
        <v>309</v>
      </c>
      <c r="E8" s="1" t="s">
        <v>349</v>
      </c>
      <c r="F8" s="1" t="s">
        <v>311</v>
      </c>
      <c r="G8" s="1" t="s">
        <v>312</v>
      </c>
      <c r="H8" s="1" t="s">
        <v>43</v>
      </c>
      <c r="I8" s="1" t="s">
        <v>351</v>
      </c>
      <c r="J8" s="2" t="s">
        <v>316</v>
      </c>
      <c r="K8" s="1" t="s">
        <v>325</v>
      </c>
      <c r="L8" s="1" t="s">
        <v>352</v>
      </c>
      <c r="M8" s="1" t="s">
        <v>352</v>
      </c>
      <c r="N8" s="1" t="s">
        <v>327</v>
      </c>
      <c r="O8" s="1" t="s">
        <v>320</v>
      </c>
      <c r="P8" s="1" t="s">
        <v>321</v>
      </c>
      <c r="Q8" s="1" t="s">
        <v>316</v>
      </c>
      <c r="R8" s="1" t="s">
        <v>316</v>
      </c>
    </row>
    <row r="9" spans="1:18" x14ac:dyDescent="0.25">
      <c r="A9" s="1" t="s">
        <v>353</v>
      </c>
      <c r="B9" s="1" t="s">
        <v>308</v>
      </c>
      <c r="C9" s="2" t="s">
        <v>309</v>
      </c>
      <c r="D9" s="1" t="s">
        <v>309</v>
      </c>
      <c r="E9" s="1" t="s">
        <v>317</v>
      </c>
      <c r="F9" s="1" t="s">
        <v>311</v>
      </c>
      <c r="G9" s="1" t="s">
        <v>312</v>
      </c>
      <c r="H9" s="1" t="s">
        <v>52</v>
      </c>
      <c r="I9" s="1" t="s">
        <v>354</v>
      </c>
      <c r="J9" s="2" t="s">
        <v>316</v>
      </c>
      <c r="K9" s="1" t="s">
        <v>346</v>
      </c>
      <c r="L9" s="1" t="s">
        <v>355</v>
      </c>
      <c r="M9" s="1" t="s">
        <v>355</v>
      </c>
      <c r="N9" s="1" t="s">
        <v>348</v>
      </c>
      <c r="O9" s="1" t="s">
        <v>320</v>
      </c>
      <c r="P9" s="1" t="s">
        <v>321</v>
      </c>
      <c r="Q9" s="1" t="s">
        <v>316</v>
      </c>
      <c r="R9" s="1" t="s">
        <v>316</v>
      </c>
    </row>
    <row r="10" spans="1:18" x14ac:dyDescent="0.25">
      <c r="A10" s="1" t="s">
        <v>357</v>
      </c>
      <c r="B10" s="1" t="s">
        <v>308</v>
      </c>
      <c r="C10" s="2" t="s">
        <v>309</v>
      </c>
      <c r="D10" s="1" t="s">
        <v>309</v>
      </c>
      <c r="E10" s="1" t="s">
        <v>356</v>
      </c>
      <c r="F10" s="1" t="s">
        <v>311</v>
      </c>
      <c r="G10" s="1" t="s">
        <v>312</v>
      </c>
      <c r="H10" s="1" t="s">
        <v>56</v>
      </c>
      <c r="I10" s="1" t="s">
        <v>358</v>
      </c>
      <c r="J10" s="2" t="s">
        <v>316</v>
      </c>
      <c r="K10" s="1" t="s">
        <v>335</v>
      </c>
      <c r="L10" s="1" t="s">
        <v>359</v>
      </c>
      <c r="M10" s="1" t="s">
        <v>359</v>
      </c>
      <c r="N10" s="1" t="s">
        <v>337</v>
      </c>
      <c r="O10" s="1" t="s">
        <v>320</v>
      </c>
      <c r="P10" s="1" t="s">
        <v>321</v>
      </c>
      <c r="Q10" s="1" t="s">
        <v>316</v>
      </c>
      <c r="R10" s="1" t="s">
        <v>316</v>
      </c>
    </row>
    <row r="11" spans="1:18" x14ac:dyDescent="0.25">
      <c r="A11" s="1" t="s">
        <v>360</v>
      </c>
      <c r="B11" s="1" t="s">
        <v>308</v>
      </c>
      <c r="C11" s="2" t="s">
        <v>309</v>
      </c>
      <c r="D11" s="1" t="s">
        <v>309</v>
      </c>
      <c r="E11" s="1" t="s">
        <v>346</v>
      </c>
      <c r="F11" s="1" t="s">
        <v>311</v>
      </c>
      <c r="G11" s="1" t="s">
        <v>312</v>
      </c>
      <c r="H11" s="1" t="s">
        <v>63</v>
      </c>
      <c r="I11" s="1" t="s">
        <v>361</v>
      </c>
      <c r="J11" s="2" t="s">
        <v>316</v>
      </c>
      <c r="K11" s="1" t="s">
        <v>338</v>
      </c>
      <c r="L11" s="1" t="s">
        <v>362</v>
      </c>
      <c r="M11" s="1" t="s">
        <v>362</v>
      </c>
      <c r="N11" s="1" t="s">
        <v>342</v>
      </c>
      <c r="O11" s="1" t="s">
        <v>320</v>
      </c>
      <c r="P11" s="1" t="s">
        <v>321</v>
      </c>
      <c r="Q11" s="1" t="s">
        <v>316</v>
      </c>
      <c r="R11" s="1" t="s">
        <v>316</v>
      </c>
    </row>
    <row r="12" spans="1:18" x14ac:dyDescent="0.25">
      <c r="A12" s="1" t="s">
        <v>364</v>
      </c>
      <c r="B12" s="1" t="s">
        <v>308</v>
      </c>
      <c r="C12" s="2" t="s">
        <v>309</v>
      </c>
      <c r="D12" s="1" t="s">
        <v>309</v>
      </c>
      <c r="E12" s="1" t="s">
        <v>363</v>
      </c>
      <c r="F12" s="1" t="s">
        <v>311</v>
      </c>
      <c r="G12" s="1" t="s">
        <v>312</v>
      </c>
      <c r="H12" s="1" t="s">
        <v>67</v>
      </c>
      <c r="I12" s="1" t="s">
        <v>365</v>
      </c>
      <c r="J12" s="2" t="s">
        <v>316</v>
      </c>
      <c r="K12" s="1" t="s">
        <v>338</v>
      </c>
      <c r="L12" s="1" t="s">
        <v>366</v>
      </c>
      <c r="M12" s="1" t="s">
        <v>366</v>
      </c>
      <c r="N12" s="1" t="s">
        <v>342</v>
      </c>
      <c r="O12" s="1" t="s">
        <v>320</v>
      </c>
      <c r="P12" s="1" t="s">
        <v>321</v>
      </c>
      <c r="Q12" s="1" t="s">
        <v>316</v>
      </c>
      <c r="R12" s="1" t="s">
        <v>316</v>
      </c>
    </row>
    <row r="13" spans="1:18" x14ac:dyDescent="0.25">
      <c r="A13" s="1" t="s">
        <v>69</v>
      </c>
      <c r="B13" s="1" t="s">
        <v>308</v>
      </c>
      <c r="C13" s="2" t="s">
        <v>309</v>
      </c>
      <c r="D13" s="1" t="s">
        <v>309</v>
      </c>
      <c r="E13" s="1" t="s">
        <v>367</v>
      </c>
      <c r="F13" s="1" t="s">
        <v>311</v>
      </c>
      <c r="G13" s="1" t="s">
        <v>312</v>
      </c>
      <c r="H13" s="1" t="s">
        <v>72</v>
      </c>
      <c r="I13" s="1" t="s">
        <v>368</v>
      </c>
      <c r="J13" s="2" t="s">
        <v>316</v>
      </c>
      <c r="K13" s="1" t="s">
        <v>338</v>
      </c>
      <c r="L13" s="1" t="s">
        <v>369</v>
      </c>
      <c r="M13" s="1" t="s">
        <v>369</v>
      </c>
      <c r="N13" s="1" t="s">
        <v>342</v>
      </c>
      <c r="O13" s="1" t="s">
        <v>320</v>
      </c>
      <c r="P13" s="1" t="s">
        <v>321</v>
      </c>
      <c r="Q13" s="1" t="s">
        <v>316</v>
      </c>
      <c r="R13" s="1" t="s">
        <v>316</v>
      </c>
    </row>
    <row r="14" spans="1:18" x14ac:dyDescent="0.25">
      <c r="A14" s="1" t="s">
        <v>371</v>
      </c>
      <c r="B14" s="1" t="s">
        <v>308</v>
      </c>
      <c r="C14" s="2" t="s">
        <v>309</v>
      </c>
      <c r="D14" s="1" t="s">
        <v>309</v>
      </c>
      <c r="E14" s="1" t="s">
        <v>370</v>
      </c>
      <c r="F14" s="1" t="s">
        <v>311</v>
      </c>
      <c r="G14" s="1" t="s">
        <v>312</v>
      </c>
      <c r="H14" s="1" t="s">
        <v>77</v>
      </c>
      <c r="I14" s="1" t="s">
        <v>372</v>
      </c>
      <c r="J14" s="2" t="s">
        <v>316</v>
      </c>
      <c r="K14" s="1" t="s">
        <v>338</v>
      </c>
      <c r="L14" s="1" t="s">
        <v>373</v>
      </c>
      <c r="M14" s="1" t="s">
        <v>373</v>
      </c>
      <c r="N14" s="1" t="s">
        <v>342</v>
      </c>
      <c r="O14" s="1" t="s">
        <v>320</v>
      </c>
      <c r="P14" s="1" t="s">
        <v>321</v>
      </c>
      <c r="Q14" s="1" t="s">
        <v>316</v>
      </c>
      <c r="R14" s="1" t="s">
        <v>316</v>
      </c>
    </row>
    <row r="15" spans="1:18" x14ac:dyDescent="0.25">
      <c r="A15" s="1" t="s">
        <v>375</v>
      </c>
      <c r="B15" s="1" t="s">
        <v>308</v>
      </c>
      <c r="C15" s="2" t="s">
        <v>309</v>
      </c>
      <c r="D15" s="1" t="s">
        <v>309</v>
      </c>
      <c r="E15" s="1" t="s">
        <v>374</v>
      </c>
      <c r="F15" s="1" t="s">
        <v>311</v>
      </c>
      <c r="G15" s="1" t="s">
        <v>312</v>
      </c>
      <c r="H15" s="1" t="s">
        <v>82</v>
      </c>
      <c r="I15" s="1" t="s">
        <v>376</v>
      </c>
      <c r="J15" s="2" t="s">
        <v>316</v>
      </c>
      <c r="K15" s="1" t="s">
        <v>338</v>
      </c>
      <c r="L15" s="1" t="s">
        <v>377</v>
      </c>
      <c r="M15" s="1" t="s">
        <v>377</v>
      </c>
      <c r="N15" s="1" t="s">
        <v>342</v>
      </c>
      <c r="O15" s="1" t="s">
        <v>320</v>
      </c>
      <c r="P15" s="1" t="s">
        <v>321</v>
      </c>
      <c r="Q15" s="1" t="s">
        <v>316</v>
      </c>
      <c r="R15" s="1" t="s">
        <v>316</v>
      </c>
    </row>
    <row r="16" spans="1:18" x14ac:dyDescent="0.25">
      <c r="A16" s="1" t="s">
        <v>84</v>
      </c>
      <c r="B16" s="1" t="s">
        <v>308</v>
      </c>
      <c r="C16" s="2" t="s">
        <v>309</v>
      </c>
      <c r="D16" s="1" t="s">
        <v>309</v>
      </c>
      <c r="E16" s="1" t="s">
        <v>335</v>
      </c>
      <c r="F16" s="1" t="s">
        <v>311</v>
      </c>
      <c r="G16" s="1" t="s">
        <v>312</v>
      </c>
      <c r="H16" s="1" t="s">
        <v>87</v>
      </c>
      <c r="I16" s="1" t="s">
        <v>378</v>
      </c>
      <c r="J16" s="2" t="s">
        <v>316</v>
      </c>
      <c r="K16" s="1" t="s">
        <v>338</v>
      </c>
      <c r="L16" s="1" t="s">
        <v>379</v>
      </c>
      <c r="M16" s="1" t="s">
        <v>379</v>
      </c>
      <c r="N16" s="1" t="s">
        <v>342</v>
      </c>
      <c r="O16" s="1" t="s">
        <v>320</v>
      </c>
      <c r="P16" s="1" t="s">
        <v>321</v>
      </c>
      <c r="Q16" s="1" t="s">
        <v>316</v>
      </c>
      <c r="R16" s="1" t="s">
        <v>316</v>
      </c>
    </row>
    <row r="17" spans="1:18" x14ac:dyDescent="0.25">
      <c r="A17" s="1" t="s">
        <v>89</v>
      </c>
      <c r="B17" s="1" t="s">
        <v>308</v>
      </c>
      <c r="C17" s="2" t="s">
        <v>309</v>
      </c>
      <c r="D17" s="1" t="s">
        <v>309</v>
      </c>
      <c r="E17" s="1" t="s">
        <v>380</v>
      </c>
      <c r="F17" s="1" t="s">
        <v>311</v>
      </c>
      <c r="G17" s="1" t="s">
        <v>312</v>
      </c>
      <c r="H17" s="1" t="s">
        <v>92</v>
      </c>
      <c r="I17" s="1" t="s">
        <v>381</v>
      </c>
      <c r="J17" s="2" t="s">
        <v>316</v>
      </c>
      <c r="K17" s="1" t="s">
        <v>338</v>
      </c>
      <c r="L17" s="1" t="s">
        <v>382</v>
      </c>
      <c r="M17" s="1" t="s">
        <v>382</v>
      </c>
      <c r="N17" s="1" t="s">
        <v>342</v>
      </c>
      <c r="O17" s="1" t="s">
        <v>320</v>
      </c>
      <c r="P17" s="1" t="s">
        <v>321</v>
      </c>
      <c r="Q17" s="1" t="s">
        <v>316</v>
      </c>
      <c r="R17" s="1" t="s">
        <v>316</v>
      </c>
    </row>
    <row r="18" spans="1:18" x14ac:dyDescent="0.25">
      <c r="A18" s="1" t="s">
        <v>94</v>
      </c>
      <c r="B18" s="1" t="s">
        <v>308</v>
      </c>
      <c r="C18" s="2" t="s">
        <v>309</v>
      </c>
      <c r="D18" s="1" t="s">
        <v>309</v>
      </c>
      <c r="E18" s="1" t="s">
        <v>383</v>
      </c>
      <c r="F18" s="1" t="s">
        <v>311</v>
      </c>
      <c r="G18" s="1" t="s">
        <v>312</v>
      </c>
      <c r="H18" s="1" t="s">
        <v>97</v>
      </c>
      <c r="I18" s="1" t="s">
        <v>384</v>
      </c>
      <c r="J18" s="2" t="s">
        <v>316</v>
      </c>
      <c r="K18" s="1" t="s">
        <v>338</v>
      </c>
      <c r="L18" s="1" t="s">
        <v>385</v>
      </c>
      <c r="M18" s="1" t="s">
        <v>385</v>
      </c>
      <c r="N18" s="1" t="s">
        <v>342</v>
      </c>
      <c r="O18" s="1" t="s">
        <v>320</v>
      </c>
      <c r="P18" s="1" t="s">
        <v>321</v>
      </c>
      <c r="Q18" s="1" t="s">
        <v>316</v>
      </c>
      <c r="R18" s="1" t="s">
        <v>316</v>
      </c>
    </row>
    <row r="19" spans="1:18" x14ac:dyDescent="0.25">
      <c r="A19" s="1" t="s">
        <v>99</v>
      </c>
      <c r="B19" s="1" t="s">
        <v>308</v>
      </c>
      <c r="C19" s="2" t="s">
        <v>309</v>
      </c>
      <c r="D19" s="1" t="s">
        <v>309</v>
      </c>
      <c r="E19" s="1" t="s">
        <v>386</v>
      </c>
      <c r="F19" s="1" t="s">
        <v>311</v>
      </c>
      <c r="G19" s="1" t="s">
        <v>312</v>
      </c>
      <c r="H19" s="1" t="s">
        <v>102</v>
      </c>
      <c r="I19" s="1" t="s">
        <v>387</v>
      </c>
      <c r="J19" s="2" t="s">
        <v>316</v>
      </c>
      <c r="K19" s="1" t="s">
        <v>338</v>
      </c>
      <c r="L19" s="1" t="s">
        <v>388</v>
      </c>
      <c r="M19" s="1" t="s">
        <v>388</v>
      </c>
      <c r="N19" s="1" t="s">
        <v>342</v>
      </c>
      <c r="O19" s="1" t="s">
        <v>320</v>
      </c>
      <c r="P19" s="1" t="s">
        <v>321</v>
      </c>
      <c r="Q19" s="1" t="s">
        <v>316</v>
      </c>
      <c r="R19" s="1" t="s">
        <v>316</v>
      </c>
    </row>
    <row r="20" spans="1:18" x14ac:dyDescent="0.25">
      <c r="A20" s="1" t="s">
        <v>390</v>
      </c>
      <c r="B20" s="1" t="s">
        <v>308</v>
      </c>
      <c r="C20" s="2" t="s">
        <v>309</v>
      </c>
      <c r="D20" s="1" t="s">
        <v>309</v>
      </c>
      <c r="E20" s="1" t="s">
        <v>389</v>
      </c>
      <c r="F20" s="1" t="s">
        <v>311</v>
      </c>
      <c r="G20" s="1" t="s">
        <v>312</v>
      </c>
      <c r="H20" s="1" t="s">
        <v>107</v>
      </c>
      <c r="I20" s="1" t="s">
        <v>391</v>
      </c>
      <c r="J20" s="2" t="s">
        <v>316</v>
      </c>
      <c r="K20" s="1" t="s">
        <v>338</v>
      </c>
      <c r="L20" s="1" t="s">
        <v>392</v>
      </c>
      <c r="M20" s="1" t="s">
        <v>392</v>
      </c>
      <c r="N20" s="1" t="s">
        <v>342</v>
      </c>
      <c r="O20" s="1" t="s">
        <v>320</v>
      </c>
      <c r="P20" s="1" t="s">
        <v>321</v>
      </c>
      <c r="Q20" s="1" t="s">
        <v>316</v>
      </c>
      <c r="R20" s="1" t="s">
        <v>316</v>
      </c>
    </row>
    <row r="21" spans="1:18" x14ac:dyDescent="0.25">
      <c r="A21" s="1" t="s">
        <v>109</v>
      </c>
      <c r="B21" s="1" t="s">
        <v>308</v>
      </c>
      <c r="C21" s="2" t="s">
        <v>309</v>
      </c>
      <c r="D21" s="1" t="s">
        <v>309</v>
      </c>
      <c r="E21" s="1" t="s">
        <v>325</v>
      </c>
      <c r="F21" s="1" t="s">
        <v>311</v>
      </c>
      <c r="G21" s="1" t="s">
        <v>312</v>
      </c>
      <c r="H21" s="1" t="s">
        <v>112</v>
      </c>
      <c r="I21" s="1" t="s">
        <v>393</v>
      </c>
      <c r="J21" s="2" t="s">
        <v>316</v>
      </c>
      <c r="K21" s="1" t="s">
        <v>338</v>
      </c>
      <c r="L21" s="1" t="s">
        <v>394</v>
      </c>
      <c r="M21" s="1" t="s">
        <v>394</v>
      </c>
      <c r="N21" s="1" t="s">
        <v>342</v>
      </c>
      <c r="O21" s="1" t="s">
        <v>320</v>
      </c>
      <c r="P21" s="1" t="s">
        <v>321</v>
      </c>
      <c r="Q21" s="1" t="s">
        <v>316</v>
      </c>
      <c r="R21" s="1" t="s">
        <v>316</v>
      </c>
    </row>
    <row r="22" spans="1:18" x14ac:dyDescent="0.25">
      <c r="A22" s="1" t="s">
        <v>114</v>
      </c>
      <c r="B22" s="1" t="s">
        <v>308</v>
      </c>
      <c r="C22" s="2" t="s">
        <v>309</v>
      </c>
      <c r="D22" s="1" t="s">
        <v>309</v>
      </c>
      <c r="E22" s="1" t="s">
        <v>395</v>
      </c>
      <c r="F22" s="1" t="s">
        <v>311</v>
      </c>
      <c r="G22" s="1" t="s">
        <v>312</v>
      </c>
      <c r="H22" s="1" t="s">
        <v>117</v>
      </c>
      <c r="I22" s="1" t="s">
        <v>396</v>
      </c>
      <c r="J22" s="2" t="s">
        <v>316</v>
      </c>
      <c r="K22" s="1" t="s">
        <v>338</v>
      </c>
      <c r="L22" s="1" t="s">
        <v>397</v>
      </c>
      <c r="M22" s="1" t="s">
        <v>397</v>
      </c>
      <c r="N22" s="1" t="s">
        <v>342</v>
      </c>
      <c r="O22" s="1" t="s">
        <v>320</v>
      </c>
      <c r="P22" s="1" t="s">
        <v>321</v>
      </c>
      <c r="Q22" s="1" t="s">
        <v>316</v>
      </c>
      <c r="R22" s="1" t="s">
        <v>316</v>
      </c>
    </row>
    <row r="23" spans="1:18" x14ac:dyDescent="0.25">
      <c r="A23" s="1" t="s">
        <v>119</v>
      </c>
      <c r="B23" s="1" t="s">
        <v>308</v>
      </c>
      <c r="C23" s="2" t="s">
        <v>309</v>
      </c>
      <c r="D23" s="1" t="s">
        <v>309</v>
      </c>
      <c r="E23" s="1" t="s">
        <v>398</v>
      </c>
      <c r="F23" s="1" t="s">
        <v>311</v>
      </c>
      <c r="G23" s="1" t="s">
        <v>312</v>
      </c>
      <c r="H23" s="1" t="s">
        <v>122</v>
      </c>
      <c r="I23" s="1" t="s">
        <v>399</v>
      </c>
      <c r="J23" s="2" t="s">
        <v>316</v>
      </c>
      <c r="K23" s="1" t="s">
        <v>338</v>
      </c>
      <c r="L23" s="1" t="s">
        <v>400</v>
      </c>
      <c r="M23" s="1" t="s">
        <v>400</v>
      </c>
      <c r="N23" s="1" t="s">
        <v>342</v>
      </c>
      <c r="O23" s="1" t="s">
        <v>320</v>
      </c>
      <c r="P23" s="1" t="s">
        <v>321</v>
      </c>
      <c r="Q23" s="1" t="s">
        <v>316</v>
      </c>
      <c r="R23" s="1" t="s">
        <v>316</v>
      </c>
    </row>
    <row r="24" spans="1:18" x14ac:dyDescent="0.25">
      <c r="A24" s="1" t="s">
        <v>124</v>
      </c>
      <c r="B24" s="1" t="s">
        <v>308</v>
      </c>
      <c r="C24" s="2" t="s">
        <v>309</v>
      </c>
      <c r="D24" s="1" t="s">
        <v>309</v>
      </c>
      <c r="E24" s="1" t="s">
        <v>401</v>
      </c>
      <c r="F24" s="1" t="s">
        <v>311</v>
      </c>
      <c r="G24" s="1" t="s">
        <v>312</v>
      </c>
      <c r="H24" s="1" t="s">
        <v>127</v>
      </c>
      <c r="I24" s="1" t="s">
        <v>402</v>
      </c>
      <c r="J24" s="2" t="s">
        <v>316</v>
      </c>
      <c r="K24" s="1" t="s">
        <v>338</v>
      </c>
      <c r="L24" s="1" t="s">
        <v>403</v>
      </c>
      <c r="M24" s="1" t="s">
        <v>403</v>
      </c>
      <c r="N24" s="1" t="s">
        <v>342</v>
      </c>
      <c r="O24" s="1" t="s">
        <v>320</v>
      </c>
      <c r="P24" s="1" t="s">
        <v>321</v>
      </c>
      <c r="Q24" s="1" t="s">
        <v>316</v>
      </c>
      <c r="R24" s="1" t="s">
        <v>316</v>
      </c>
    </row>
    <row r="25" spans="1:18" x14ac:dyDescent="0.25">
      <c r="A25" s="1" t="s">
        <v>129</v>
      </c>
      <c r="B25" s="1" t="s">
        <v>308</v>
      </c>
      <c r="C25" s="2" t="s">
        <v>309</v>
      </c>
      <c r="D25" s="1" t="s">
        <v>309</v>
      </c>
      <c r="E25" s="1" t="s">
        <v>404</v>
      </c>
      <c r="F25" s="1" t="s">
        <v>311</v>
      </c>
      <c r="G25" s="1" t="s">
        <v>312</v>
      </c>
      <c r="H25" s="1" t="s">
        <v>132</v>
      </c>
      <c r="I25" s="1" t="s">
        <v>405</v>
      </c>
      <c r="J25" s="2" t="s">
        <v>316</v>
      </c>
      <c r="K25" s="1" t="s">
        <v>338</v>
      </c>
      <c r="L25" s="1" t="s">
        <v>406</v>
      </c>
      <c r="M25" s="1" t="s">
        <v>406</v>
      </c>
      <c r="N25" s="1" t="s">
        <v>342</v>
      </c>
      <c r="O25" s="1" t="s">
        <v>320</v>
      </c>
      <c r="P25" s="1" t="s">
        <v>321</v>
      </c>
      <c r="Q25" s="1" t="s">
        <v>316</v>
      </c>
      <c r="R25" s="1" t="s">
        <v>316</v>
      </c>
    </row>
    <row r="26" spans="1:18" x14ac:dyDescent="0.25">
      <c r="A26" s="1" t="s">
        <v>134</v>
      </c>
      <c r="B26" s="1" t="s">
        <v>308</v>
      </c>
      <c r="C26" s="2" t="s">
        <v>309</v>
      </c>
      <c r="D26" s="1" t="s">
        <v>309</v>
      </c>
      <c r="E26" s="1" t="s">
        <v>407</v>
      </c>
      <c r="F26" s="1" t="s">
        <v>311</v>
      </c>
      <c r="G26" s="1" t="s">
        <v>312</v>
      </c>
      <c r="H26" s="1" t="s">
        <v>137</v>
      </c>
      <c r="I26" s="1" t="s">
        <v>408</v>
      </c>
      <c r="J26" s="2" t="s">
        <v>316</v>
      </c>
      <c r="K26" s="1" t="s">
        <v>338</v>
      </c>
      <c r="L26" s="1" t="s">
        <v>409</v>
      </c>
      <c r="M26" s="1" t="s">
        <v>409</v>
      </c>
      <c r="N26" s="1" t="s">
        <v>342</v>
      </c>
      <c r="O26" s="1" t="s">
        <v>320</v>
      </c>
      <c r="P26" s="1" t="s">
        <v>321</v>
      </c>
      <c r="Q26" s="1" t="s">
        <v>316</v>
      </c>
      <c r="R26" s="1" t="s">
        <v>316</v>
      </c>
    </row>
    <row r="27" spans="1:18" x14ac:dyDescent="0.25">
      <c r="A27" s="1" t="s">
        <v>411</v>
      </c>
      <c r="B27" s="1" t="s">
        <v>308</v>
      </c>
      <c r="C27" s="2" t="s">
        <v>309</v>
      </c>
      <c r="D27" s="1" t="s">
        <v>309</v>
      </c>
      <c r="E27" s="1" t="s">
        <v>410</v>
      </c>
      <c r="F27" s="1" t="s">
        <v>311</v>
      </c>
      <c r="G27" s="1" t="s">
        <v>312</v>
      </c>
      <c r="H27" s="1" t="s">
        <v>142</v>
      </c>
      <c r="I27" s="1" t="s">
        <v>412</v>
      </c>
      <c r="J27" s="2" t="s">
        <v>316</v>
      </c>
      <c r="K27" s="1" t="s">
        <v>338</v>
      </c>
      <c r="L27" s="1" t="s">
        <v>413</v>
      </c>
      <c r="M27" s="1" t="s">
        <v>413</v>
      </c>
      <c r="N27" s="1" t="s">
        <v>342</v>
      </c>
      <c r="O27" s="1" t="s">
        <v>320</v>
      </c>
      <c r="P27" s="1" t="s">
        <v>321</v>
      </c>
      <c r="Q27" s="1" t="s">
        <v>316</v>
      </c>
      <c r="R27" s="1" t="s">
        <v>316</v>
      </c>
    </row>
    <row r="28" spans="1:18" x14ac:dyDescent="0.25">
      <c r="A28" s="1" t="s">
        <v>415</v>
      </c>
      <c r="B28" s="1" t="s">
        <v>308</v>
      </c>
      <c r="C28" s="2" t="s">
        <v>309</v>
      </c>
      <c r="D28" s="1" t="s">
        <v>309</v>
      </c>
      <c r="E28" s="1" t="s">
        <v>414</v>
      </c>
      <c r="F28" s="1" t="s">
        <v>311</v>
      </c>
      <c r="G28" s="1" t="s">
        <v>312</v>
      </c>
      <c r="H28" s="1" t="s">
        <v>147</v>
      </c>
      <c r="I28" s="1" t="s">
        <v>416</v>
      </c>
      <c r="J28" s="2" t="s">
        <v>316</v>
      </c>
      <c r="K28" s="1" t="s">
        <v>346</v>
      </c>
      <c r="L28" s="1" t="s">
        <v>417</v>
      </c>
      <c r="M28" s="1" t="s">
        <v>417</v>
      </c>
      <c r="N28" s="1" t="s">
        <v>348</v>
      </c>
      <c r="O28" s="1" t="s">
        <v>320</v>
      </c>
      <c r="P28" s="1" t="s">
        <v>321</v>
      </c>
      <c r="Q28" s="1" t="s">
        <v>316</v>
      </c>
      <c r="R28" s="1" t="s">
        <v>316</v>
      </c>
    </row>
    <row r="29" spans="1:18" x14ac:dyDescent="0.25">
      <c r="A29" s="1" t="s">
        <v>149</v>
      </c>
      <c r="B29" s="1" t="s">
        <v>308</v>
      </c>
      <c r="C29" s="2" t="s">
        <v>309</v>
      </c>
      <c r="D29" s="1" t="s">
        <v>309</v>
      </c>
      <c r="E29" s="1" t="s">
        <v>418</v>
      </c>
      <c r="F29" s="1" t="s">
        <v>311</v>
      </c>
      <c r="G29" s="1" t="s">
        <v>312</v>
      </c>
      <c r="H29" s="1" t="s">
        <v>152</v>
      </c>
      <c r="I29" s="1" t="s">
        <v>419</v>
      </c>
      <c r="J29" s="2" t="s">
        <v>316</v>
      </c>
      <c r="K29" s="1" t="s">
        <v>338</v>
      </c>
      <c r="L29" s="1" t="s">
        <v>420</v>
      </c>
      <c r="M29" s="1" t="s">
        <v>420</v>
      </c>
      <c r="N29" s="1" t="s">
        <v>342</v>
      </c>
      <c r="O29" s="1" t="s">
        <v>320</v>
      </c>
      <c r="P29" s="1" t="s">
        <v>321</v>
      </c>
      <c r="Q29" s="1" t="s">
        <v>316</v>
      </c>
      <c r="R29" s="1" t="s">
        <v>316</v>
      </c>
    </row>
    <row r="30" spans="1:18" x14ac:dyDescent="0.25">
      <c r="A30" s="1" t="s">
        <v>422</v>
      </c>
      <c r="B30" s="1" t="s">
        <v>308</v>
      </c>
      <c r="C30" s="2" t="s">
        <v>309</v>
      </c>
      <c r="D30" s="1" t="s">
        <v>309</v>
      </c>
      <c r="E30" s="1" t="s">
        <v>421</v>
      </c>
      <c r="F30" s="1" t="s">
        <v>311</v>
      </c>
      <c r="G30" s="1" t="s">
        <v>312</v>
      </c>
      <c r="H30" s="1" t="s">
        <v>157</v>
      </c>
      <c r="I30" s="1" t="s">
        <v>423</v>
      </c>
      <c r="J30" s="2" t="s">
        <v>316</v>
      </c>
      <c r="K30" s="1" t="s">
        <v>338</v>
      </c>
      <c r="L30" s="1" t="s">
        <v>424</v>
      </c>
      <c r="M30" s="1" t="s">
        <v>424</v>
      </c>
      <c r="N30" s="1" t="s">
        <v>342</v>
      </c>
      <c r="O30" s="1" t="s">
        <v>320</v>
      </c>
      <c r="P30" s="1" t="s">
        <v>321</v>
      </c>
      <c r="Q30" s="1" t="s">
        <v>316</v>
      </c>
      <c r="R30" s="1" t="s">
        <v>316</v>
      </c>
    </row>
    <row r="31" spans="1:18" x14ac:dyDescent="0.25">
      <c r="A31" s="1" t="s">
        <v>426</v>
      </c>
      <c r="B31" s="1" t="s">
        <v>308</v>
      </c>
      <c r="C31" s="2" t="s">
        <v>309</v>
      </c>
      <c r="D31" s="1" t="s">
        <v>309</v>
      </c>
      <c r="E31" s="1" t="s">
        <v>425</v>
      </c>
      <c r="F31" s="1" t="s">
        <v>311</v>
      </c>
      <c r="G31" s="1" t="s">
        <v>312</v>
      </c>
      <c r="H31" s="1" t="s">
        <v>162</v>
      </c>
      <c r="I31" s="1" t="s">
        <v>427</v>
      </c>
      <c r="J31" s="2" t="s">
        <v>316</v>
      </c>
      <c r="K31" s="1" t="s">
        <v>346</v>
      </c>
      <c r="L31" s="1" t="s">
        <v>428</v>
      </c>
      <c r="M31" s="1" t="s">
        <v>428</v>
      </c>
      <c r="N31" s="1" t="s">
        <v>348</v>
      </c>
      <c r="O31" s="1" t="s">
        <v>320</v>
      </c>
      <c r="P31" s="1" t="s">
        <v>321</v>
      </c>
      <c r="Q31" s="1" t="s">
        <v>316</v>
      </c>
      <c r="R31" s="1" t="s">
        <v>316</v>
      </c>
    </row>
    <row r="32" spans="1:18" x14ac:dyDescent="0.25">
      <c r="A32" s="1" t="s">
        <v>430</v>
      </c>
      <c r="B32" s="1" t="s">
        <v>308</v>
      </c>
      <c r="C32" s="2" t="s">
        <v>309</v>
      </c>
      <c r="D32" s="1" t="s">
        <v>309</v>
      </c>
      <c r="E32" s="1" t="s">
        <v>429</v>
      </c>
      <c r="F32" s="1" t="s">
        <v>311</v>
      </c>
      <c r="G32" s="1" t="s">
        <v>312</v>
      </c>
      <c r="H32" s="1" t="s">
        <v>166</v>
      </c>
      <c r="I32" s="1" t="s">
        <v>431</v>
      </c>
      <c r="J32" s="2" t="s">
        <v>316</v>
      </c>
      <c r="K32" s="1" t="s">
        <v>338</v>
      </c>
      <c r="L32" s="1" t="s">
        <v>432</v>
      </c>
      <c r="M32" s="1" t="s">
        <v>432</v>
      </c>
      <c r="N32" s="1" t="s">
        <v>342</v>
      </c>
      <c r="O32" s="1" t="s">
        <v>320</v>
      </c>
      <c r="P32" s="1" t="s">
        <v>321</v>
      </c>
      <c r="Q32" s="1" t="s">
        <v>316</v>
      </c>
      <c r="R32" s="1" t="s">
        <v>316</v>
      </c>
    </row>
    <row r="33" spans="1:18" x14ac:dyDescent="0.25">
      <c r="A33" s="1" t="s">
        <v>434</v>
      </c>
      <c r="B33" s="1" t="s">
        <v>308</v>
      </c>
      <c r="C33" s="2" t="s">
        <v>309</v>
      </c>
      <c r="D33" s="1" t="s">
        <v>309</v>
      </c>
      <c r="E33" s="1" t="s">
        <v>433</v>
      </c>
      <c r="F33" s="1" t="s">
        <v>311</v>
      </c>
      <c r="G33" s="1" t="s">
        <v>312</v>
      </c>
      <c r="H33" s="1" t="s">
        <v>169</v>
      </c>
      <c r="I33" s="1" t="s">
        <v>435</v>
      </c>
      <c r="J33" s="2" t="s">
        <v>316</v>
      </c>
      <c r="K33" s="1" t="s">
        <v>346</v>
      </c>
      <c r="L33" s="1" t="s">
        <v>436</v>
      </c>
      <c r="M33" s="1" t="s">
        <v>436</v>
      </c>
      <c r="N33" s="1" t="s">
        <v>348</v>
      </c>
      <c r="O33" s="1" t="s">
        <v>320</v>
      </c>
      <c r="P33" s="1" t="s">
        <v>321</v>
      </c>
      <c r="Q33" s="1" t="s">
        <v>316</v>
      </c>
      <c r="R33" s="1" t="s">
        <v>316</v>
      </c>
    </row>
    <row r="34" spans="1:18" x14ac:dyDescent="0.25">
      <c r="A34" s="1" t="s">
        <v>438</v>
      </c>
      <c r="B34" s="1" t="s">
        <v>308</v>
      </c>
      <c r="C34" s="2" t="s">
        <v>309</v>
      </c>
      <c r="D34" s="1" t="s">
        <v>309</v>
      </c>
      <c r="E34" s="1" t="s">
        <v>437</v>
      </c>
      <c r="F34" s="1" t="s">
        <v>311</v>
      </c>
      <c r="G34" s="1" t="s">
        <v>312</v>
      </c>
      <c r="H34" s="1" t="s">
        <v>174</v>
      </c>
      <c r="I34" s="1" t="s">
        <v>439</v>
      </c>
      <c r="J34" s="2" t="s">
        <v>316</v>
      </c>
      <c r="K34" s="1" t="s">
        <v>338</v>
      </c>
      <c r="L34" s="1" t="s">
        <v>440</v>
      </c>
      <c r="M34" s="1" t="s">
        <v>440</v>
      </c>
      <c r="N34" s="1" t="s">
        <v>342</v>
      </c>
      <c r="O34" s="1" t="s">
        <v>320</v>
      </c>
      <c r="P34" s="1" t="s">
        <v>321</v>
      </c>
      <c r="Q34" s="1" t="s">
        <v>316</v>
      </c>
      <c r="R34" s="1" t="s">
        <v>316</v>
      </c>
    </row>
    <row r="35" spans="1:18" x14ac:dyDescent="0.25">
      <c r="A35" s="1" t="s">
        <v>442</v>
      </c>
      <c r="B35" s="1" t="s">
        <v>308</v>
      </c>
      <c r="C35" s="2" t="s">
        <v>309</v>
      </c>
      <c r="D35" s="1" t="s">
        <v>309</v>
      </c>
      <c r="E35" s="1" t="s">
        <v>441</v>
      </c>
      <c r="F35" s="1" t="s">
        <v>311</v>
      </c>
      <c r="G35" s="1" t="s">
        <v>312</v>
      </c>
      <c r="H35" s="1" t="s">
        <v>178</v>
      </c>
      <c r="I35" s="1" t="s">
        <v>443</v>
      </c>
      <c r="J35" s="2" t="s">
        <v>316</v>
      </c>
      <c r="K35" s="1" t="s">
        <v>338</v>
      </c>
      <c r="L35" s="1" t="s">
        <v>444</v>
      </c>
      <c r="M35" s="1" t="s">
        <v>444</v>
      </c>
      <c r="N35" s="1" t="s">
        <v>342</v>
      </c>
      <c r="O35" s="1" t="s">
        <v>320</v>
      </c>
      <c r="P35" s="1" t="s">
        <v>321</v>
      </c>
      <c r="Q35" s="1" t="s">
        <v>316</v>
      </c>
      <c r="R35" s="1" t="s">
        <v>316</v>
      </c>
    </row>
    <row r="36" spans="1:18" x14ac:dyDescent="0.25">
      <c r="A36" s="1" t="s">
        <v>180</v>
      </c>
      <c r="B36" s="1" t="s">
        <v>308</v>
      </c>
      <c r="C36" s="2" t="s">
        <v>309</v>
      </c>
      <c r="D36" s="1" t="s">
        <v>309</v>
      </c>
      <c r="E36" s="1" t="s">
        <v>445</v>
      </c>
      <c r="F36" s="1" t="s">
        <v>311</v>
      </c>
      <c r="G36" s="1" t="s">
        <v>312</v>
      </c>
      <c r="H36" s="1" t="s">
        <v>183</v>
      </c>
      <c r="I36" s="1" t="s">
        <v>446</v>
      </c>
      <c r="J36" s="2" t="s">
        <v>316</v>
      </c>
      <c r="K36" s="1" t="s">
        <v>338</v>
      </c>
      <c r="L36" s="1" t="s">
        <v>447</v>
      </c>
      <c r="M36" s="1" t="s">
        <v>447</v>
      </c>
      <c r="N36" s="1" t="s">
        <v>342</v>
      </c>
      <c r="O36" s="1" t="s">
        <v>320</v>
      </c>
      <c r="P36" s="1" t="s">
        <v>321</v>
      </c>
      <c r="Q36" s="1" t="s">
        <v>316</v>
      </c>
      <c r="R36" s="1" t="s">
        <v>316</v>
      </c>
    </row>
    <row r="37" spans="1:18" x14ac:dyDescent="0.25">
      <c r="A37" s="1" t="s">
        <v>189</v>
      </c>
      <c r="B37" s="1" t="s">
        <v>308</v>
      </c>
      <c r="C37" s="2" t="s">
        <v>309</v>
      </c>
      <c r="D37" s="1" t="s">
        <v>309</v>
      </c>
      <c r="E37" s="1" t="s">
        <v>448</v>
      </c>
      <c r="F37" s="1" t="s">
        <v>311</v>
      </c>
      <c r="G37" s="1" t="s">
        <v>312</v>
      </c>
      <c r="H37" s="1" t="s">
        <v>192</v>
      </c>
      <c r="I37" s="1" t="s">
        <v>449</v>
      </c>
      <c r="J37" s="2" t="s">
        <v>316</v>
      </c>
      <c r="K37" s="1" t="s">
        <v>338</v>
      </c>
      <c r="L37" s="1" t="s">
        <v>450</v>
      </c>
      <c r="M37" s="1" t="s">
        <v>450</v>
      </c>
      <c r="N37" s="1" t="s">
        <v>342</v>
      </c>
      <c r="O37" s="1" t="s">
        <v>320</v>
      </c>
      <c r="P37" s="1" t="s">
        <v>321</v>
      </c>
      <c r="Q37" s="1" t="s">
        <v>316</v>
      </c>
      <c r="R37" s="1" t="s">
        <v>316</v>
      </c>
    </row>
    <row r="38" spans="1:18" x14ac:dyDescent="0.25">
      <c r="A38" s="1" t="s">
        <v>452</v>
      </c>
      <c r="B38" s="1" t="s">
        <v>308</v>
      </c>
      <c r="C38" s="2" t="s">
        <v>309</v>
      </c>
      <c r="D38" s="1" t="s">
        <v>309</v>
      </c>
      <c r="E38" s="1" t="s">
        <v>451</v>
      </c>
      <c r="F38" s="1" t="s">
        <v>311</v>
      </c>
      <c r="G38" s="1" t="s">
        <v>312</v>
      </c>
      <c r="H38" s="1" t="s">
        <v>197</v>
      </c>
      <c r="I38" s="1" t="s">
        <v>453</v>
      </c>
      <c r="J38" s="2" t="s">
        <v>316</v>
      </c>
      <c r="K38" s="1" t="s">
        <v>346</v>
      </c>
      <c r="L38" s="1" t="s">
        <v>454</v>
      </c>
      <c r="M38" s="1" t="s">
        <v>454</v>
      </c>
      <c r="N38" s="1" t="s">
        <v>348</v>
      </c>
      <c r="O38" s="1" t="s">
        <v>320</v>
      </c>
      <c r="P38" s="1" t="s">
        <v>321</v>
      </c>
      <c r="Q38" s="1" t="s">
        <v>316</v>
      </c>
      <c r="R38" s="1" t="s">
        <v>316</v>
      </c>
    </row>
    <row r="39" spans="1:18" x14ac:dyDescent="0.25">
      <c r="A39" s="1" t="s">
        <v>456</v>
      </c>
      <c r="B39" s="1" t="s">
        <v>308</v>
      </c>
      <c r="C39" s="2" t="s">
        <v>309</v>
      </c>
      <c r="D39" s="1" t="s">
        <v>309</v>
      </c>
      <c r="E39" s="1" t="s">
        <v>455</v>
      </c>
      <c r="F39" s="1" t="s">
        <v>311</v>
      </c>
      <c r="G39" s="1" t="s">
        <v>312</v>
      </c>
      <c r="H39" s="1" t="s">
        <v>201</v>
      </c>
      <c r="I39" s="1" t="s">
        <v>457</v>
      </c>
      <c r="J39" s="2" t="s">
        <v>316</v>
      </c>
      <c r="K39" s="1" t="s">
        <v>338</v>
      </c>
      <c r="L39" s="1" t="s">
        <v>366</v>
      </c>
      <c r="M39" s="1" t="s">
        <v>366</v>
      </c>
      <c r="N39" s="1" t="s">
        <v>342</v>
      </c>
      <c r="O39" s="1" t="s">
        <v>320</v>
      </c>
      <c r="P39" s="1" t="s">
        <v>321</v>
      </c>
      <c r="Q39" s="1" t="s">
        <v>316</v>
      </c>
      <c r="R39" s="1" t="s">
        <v>316</v>
      </c>
    </row>
    <row r="40" spans="1:18" x14ac:dyDescent="0.25">
      <c r="A40" s="1" t="s">
        <v>459</v>
      </c>
      <c r="B40" s="1" t="s">
        <v>308</v>
      </c>
      <c r="C40" s="2" t="s">
        <v>309</v>
      </c>
      <c r="D40" s="1" t="s">
        <v>309</v>
      </c>
      <c r="E40" s="1" t="s">
        <v>458</v>
      </c>
      <c r="F40" s="1" t="s">
        <v>311</v>
      </c>
      <c r="G40" s="1" t="s">
        <v>312</v>
      </c>
      <c r="H40" s="1" t="s">
        <v>204</v>
      </c>
      <c r="I40" s="1" t="s">
        <v>460</v>
      </c>
      <c r="J40" s="2" t="s">
        <v>316</v>
      </c>
      <c r="K40" s="1" t="s">
        <v>338</v>
      </c>
      <c r="L40" s="1" t="s">
        <v>366</v>
      </c>
      <c r="M40" s="1" t="s">
        <v>366</v>
      </c>
      <c r="N40" s="1" t="s">
        <v>342</v>
      </c>
      <c r="O40" s="1" t="s">
        <v>320</v>
      </c>
      <c r="P40" s="1" t="s">
        <v>321</v>
      </c>
      <c r="Q40" s="1" t="s">
        <v>316</v>
      </c>
      <c r="R40" s="1" t="s">
        <v>316</v>
      </c>
    </row>
    <row r="41" spans="1:18" x14ac:dyDescent="0.25">
      <c r="A41" s="1" t="s">
        <v>462</v>
      </c>
      <c r="B41" s="1" t="s">
        <v>308</v>
      </c>
      <c r="C41" s="2" t="s">
        <v>309</v>
      </c>
      <c r="D41" s="1" t="s">
        <v>309</v>
      </c>
      <c r="E41" s="1" t="s">
        <v>461</v>
      </c>
      <c r="F41" s="1" t="s">
        <v>311</v>
      </c>
      <c r="G41" s="1" t="s">
        <v>312</v>
      </c>
      <c r="H41" s="1" t="s">
        <v>208</v>
      </c>
      <c r="I41" s="1" t="s">
        <v>463</v>
      </c>
      <c r="J41" s="2" t="s">
        <v>316</v>
      </c>
      <c r="K41" s="1" t="s">
        <v>338</v>
      </c>
      <c r="L41" s="1" t="s">
        <v>366</v>
      </c>
      <c r="M41" s="1" t="s">
        <v>366</v>
      </c>
      <c r="N41" s="1" t="s">
        <v>342</v>
      </c>
      <c r="O41" s="1" t="s">
        <v>320</v>
      </c>
      <c r="P41" s="1" t="s">
        <v>321</v>
      </c>
      <c r="Q41" s="1" t="s">
        <v>316</v>
      </c>
      <c r="R41" s="1" t="s">
        <v>316</v>
      </c>
    </row>
    <row r="42" spans="1:18" x14ac:dyDescent="0.25">
      <c r="A42" s="1" t="s">
        <v>465</v>
      </c>
      <c r="B42" s="1" t="s">
        <v>308</v>
      </c>
      <c r="C42" s="2" t="s">
        <v>309</v>
      </c>
      <c r="D42" s="1" t="s">
        <v>309</v>
      </c>
      <c r="E42" s="1" t="s">
        <v>464</v>
      </c>
      <c r="F42" s="1" t="s">
        <v>311</v>
      </c>
      <c r="G42" s="1" t="s">
        <v>312</v>
      </c>
      <c r="H42" s="1" t="s">
        <v>212</v>
      </c>
      <c r="I42" s="1" t="s">
        <v>466</v>
      </c>
      <c r="J42" s="2" t="s">
        <v>316</v>
      </c>
      <c r="K42" s="1" t="s">
        <v>338</v>
      </c>
      <c r="L42" s="1" t="s">
        <v>366</v>
      </c>
      <c r="M42" s="1" t="s">
        <v>366</v>
      </c>
      <c r="N42" s="1" t="s">
        <v>342</v>
      </c>
      <c r="O42" s="1" t="s">
        <v>320</v>
      </c>
      <c r="P42" s="1" t="s">
        <v>321</v>
      </c>
      <c r="Q42" s="1" t="s">
        <v>316</v>
      </c>
      <c r="R42" s="1" t="s">
        <v>316</v>
      </c>
    </row>
    <row r="43" spans="1:18" x14ac:dyDescent="0.25">
      <c r="A43" s="1" t="s">
        <v>468</v>
      </c>
      <c r="B43" s="1" t="s">
        <v>308</v>
      </c>
      <c r="C43" s="2" t="s">
        <v>309</v>
      </c>
      <c r="D43" s="1" t="s">
        <v>309</v>
      </c>
      <c r="E43" s="1" t="s">
        <v>467</v>
      </c>
      <c r="F43" s="1" t="s">
        <v>311</v>
      </c>
      <c r="G43" s="1" t="s">
        <v>312</v>
      </c>
      <c r="H43" s="1" t="s">
        <v>215</v>
      </c>
      <c r="I43" s="1" t="s">
        <v>469</v>
      </c>
      <c r="J43" s="2" t="s">
        <v>316</v>
      </c>
      <c r="K43" s="1" t="s">
        <v>325</v>
      </c>
      <c r="L43" s="1" t="s">
        <v>470</v>
      </c>
      <c r="M43" s="1" t="s">
        <v>470</v>
      </c>
      <c r="N43" s="1" t="s">
        <v>327</v>
      </c>
      <c r="O43" s="1" t="s">
        <v>320</v>
      </c>
      <c r="P43" s="1" t="s">
        <v>321</v>
      </c>
      <c r="Q43" s="1" t="s">
        <v>316</v>
      </c>
      <c r="R43" s="1" t="s">
        <v>316</v>
      </c>
    </row>
    <row r="44" spans="1:18" x14ac:dyDescent="0.25">
      <c r="A44" s="1" t="s">
        <v>472</v>
      </c>
      <c r="B44" s="1" t="s">
        <v>308</v>
      </c>
      <c r="C44" s="2" t="s">
        <v>309</v>
      </c>
      <c r="D44" s="1" t="s">
        <v>309</v>
      </c>
      <c r="E44" s="1" t="s">
        <v>471</v>
      </c>
      <c r="F44" s="1" t="s">
        <v>311</v>
      </c>
      <c r="G44" s="1" t="s">
        <v>312</v>
      </c>
      <c r="H44" s="1" t="s">
        <v>219</v>
      </c>
      <c r="I44" s="1" t="s">
        <v>473</v>
      </c>
      <c r="J44" s="2" t="s">
        <v>316</v>
      </c>
      <c r="K44" s="1" t="s">
        <v>325</v>
      </c>
      <c r="L44" s="1" t="s">
        <v>474</v>
      </c>
      <c r="M44" s="1" t="s">
        <v>474</v>
      </c>
      <c r="N44" s="1" t="s">
        <v>327</v>
      </c>
      <c r="O44" s="1" t="s">
        <v>320</v>
      </c>
      <c r="P44" s="1" t="s">
        <v>321</v>
      </c>
      <c r="Q44" s="1" t="s">
        <v>316</v>
      </c>
      <c r="R44" s="1" t="s">
        <v>316</v>
      </c>
    </row>
    <row r="45" spans="1:18" x14ac:dyDescent="0.25">
      <c r="A45" s="1" t="s">
        <v>476</v>
      </c>
      <c r="B45" s="1" t="s">
        <v>308</v>
      </c>
      <c r="C45" s="2" t="s">
        <v>309</v>
      </c>
      <c r="D45" s="1" t="s">
        <v>309</v>
      </c>
      <c r="E45" s="1" t="s">
        <v>475</v>
      </c>
      <c r="F45" s="1" t="s">
        <v>311</v>
      </c>
      <c r="G45" s="1" t="s">
        <v>312</v>
      </c>
      <c r="H45" s="1" t="s">
        <v>223</v>
      </c>
      <c r="I45" s="1" t="s">
        <v>477</v>
      </c>
      <c r="J45" s="2" t="s">
        <v>316</v>
      </c>
      <c r="K45" s="1" t="s">
        <v>346</v>
      </c>
      <c r="L45" s="1" t="s">
        <v>478</v>
      </c>
      <c r="M45" s="1" t="s">
        <v>478</v>
      </c>
      <c r="N45" s="1" t="s">
        <v>348</v>
      </c>
      <c r="O45" s="1" t="s">
        <v>320</v>
      </c>
      <c r="P45" s="1" t="s">
        <v>321</v>
      </c>
      <c r="Q45" s="1" t="s">
        <v>316</v>
      </c>
      <c r="R45" s="1" t="s">
        <v>316</v>
      </c>
    </row>
    <row r="46" spans="1:18" x14ac:dyDescent="0.25">
      <c r="A46" s="1" t="s">
        <v>480</v>
      </c>
      <c r="B46" s="1" t="s">
        <v>308</v>
      </c>
      <c r="C46" s="2" t="s">
        <v>309</v>
      </c>
      <c r="D46" s="1" t="s">
        <v>309</v>
      </c>
      <c r="E46" s="1" t="s">
        <v>479</v>
      </c>
      <c r="F46" s="1" t="s">
        <v>311</v>
      </c>
      <c r="G46" s="1" t="s">
        <v>312</v>
      </c>
      <c r="H46" s="1" t="s">
        <v>226</v>
      </c>
      <c r="I46" s="1" t="s">
        <v>481</v>
      </c>
      <c r="J46" s="2" t="s">
        <v>316</v>
      </c>
      <c r="K46" s="1" t="s">
        <v>338</v>
      </c>
      <c r="L46" s="1" t="s">
        <v>366</v>
      </c>
      <c r="M46" s="1" t="s">
        <v>366</v>
      </c>
      <c r="N46" s="1" t="s">
        <v>342</v>
      </c>
      <c r="O46" s="1" t="s">
        <v>320</v>
      </c>
      <c r="P46" s="1" t="s">
        <v>321</v>
      </c>
      <c r="Q46" s="1" t="s">
        <v>316</v>
      </c>
      <c r="R46" s="1" t="s">
        <v>316</v>
      </c>
    </row>
    <row r="47" spans="1:18" x14ac:dyDescent="0.25">
      <c r="A47" s="1" t="s">
        <v>483</v>
      </c>
      <c r="B47" s="1" t="s">
        <v>308</v>
      </c>
      <c r="C47" s="2" t="s">
        <v>309</v>
      </c>
      <c r="D47" s="1" t="s">
        <v>309</v>
      </c>
      <c r="E47" s="1" t="s">
        <v>482</v>
      </c>
      <c r="F47" s="1" t="s">
        <v>311</v>
      </c>
      <c r="G47" s="1" t="s">
        <v>312</v>
      </c>
      <c r="H47" s="1" t="s">
        <v>230</v>
      </c>
      <c r="I47" s="1" t="s">
        <v>484</v>
      </c>
      <c r="J47" s="2" t="s">
        <v>316</v>
      </c>
      <c r="K47" s="1" t="s">
        <v>346</v>
      </c>
      <c r="L47" s="1" t="s">
        <v>474</v>
      </c>
      <c r="M47" s="1" t="s">
        <v>474</v>
      </c>
      <c r="N47" s="1" t="s">
        <v>348</v>
      </c>
      <c r="O47" s="1" t="s">
        <v>320</v>
      </c>
      <c r="P47" s="1" t="s">
        <v>321</v>
      </c>
      <c r="Q47" s="1" t="s">
        <v>316</v>
      </c>
      <c r="R47" s="1" t="s">
        <v>316</v>
      </c>
    </row>
    <row r="48" spans="1:18" x14ac:dyDescent="0.25">
      <c r="A48" s="1" t="s">
        <v>486</v>
      </c>
      <c r="B48" s="1" t="s">
        <v>308</v>
      </c>
      <c r="C48" s="2" t="s">
        <v>309</v>
      </c>
      <c r="D48" s="1" t="s">
        <v>309</v>
      </c>
      <c r="E48" s="1" t="s">
        <v>485</v>
      </c>
      <c r="F48" s="1" t="s">
        <v>311</v>
      </c>
      <c r="G48" s="1" t="s">
        <v>312</v>
      </c>
      <c r="H48" s="1" t="s">
        <v>233</v>
      </c>
      <c r="I48" s="1" t="s">
        <v>487</v>
      </c>
      <c r="J48" s="2" t="s">
        <v>316</v>
      </c>
      <c r="K48" s="1" t="s">
        <v>338</v>
      </c>
      <c r="L48" s="1" t="s">
        <v>366</v>
      </c>
      <c r="M48" s="1" t="s">
        <v>366</v>
      </c>
      <c r="N48" s="1" t="s">
        <v>342</v>
      </c>
      <c r="O48" s="1" t="s">
        <v>320</v>
      </c>
      <c r="P48" s="1" t="s">
        <v>321</v>
      </c>
      <c r="Q48" s="1" t="s">
        <v>316</v>
      </c>
      <c r="R48" s="1" t="s">
        <v>316</v>
      </c>
    </row>
    <row r="49" spans="1:18" x14ac:dyDescent="0.25">
      <c r="A49" s="1" t="s">
        <v>489</v>
      </c>
      <c r="B49" s="1" t="s">
        <v>308</v>
      </c>
      <c r="C49" s="2" t="s">
        <v>309</v>
      </c>
      <c r="D49" s="1" t="s">
        <v>309</v>
      </c>
      <c r="E49" s="1" t="s">
        <v>488</v>
      </c>
      <c r="F49" s="1" t="s">
        <v>311</v>
      </c>
      <c r="G49" s="1" t="s">
        <v>312</v>
      </c>
      <c r="H49" s="1" t="s">
        <v>236</v>
      </c>
      <c r="I49" s="1" t="s">
        <v>490</v>
      </c>
      <c r="J49" s="2" t="s">
        <v>316</v>
      </c>
      <c r="K49" s="1" t="s">
        <v>338</v>
      </c>
      <c r="L49" s="1" t="s">
        <v>491</v>
      </c>
      <c r="M49" s="1" t="s">
        <v>491</v>
      </c>
      <c r="N49" s="1" t="s">
        <v>342</v>
      </c>
      <c r="O49" s="1" t="s">
        <v>320</v>
      </c>
      <c r="P49" s="1" t="s">
        <v>321</v>
      </c>
      <c r="Q49" s="1" t="s">
        <v>316</v>
      </c>
      <c r="R49" s="1" t="s">
        <v>316</v>
      </c>
    </row>
    <row r="50" spans="1:18" x14ac:dyDescent="0.25">
      <c r="A50" s="1" t="s">
        <v>493</v>
      </c>
      <c r="B50" s="1" t="s">
        <v>308</v>
      </c>
      <c r="C50" s="2" t="s">
        <v>309</v>
      </c>
      <c r="D50" s="1" t="s">
        <v>309</v>
      </c>
      <c r="E50" s="1" t="s">
        <v>492</v>
      </c>
      <c r="F50" s="1" t="s">
        <v>311</v>
      </c>
      <c r="G50" s="1" t="s">
        <v>312</v>
      </c>
      <c r="H50" s="1" t="s">
        <v>239</v>
      </c>
      <c r="I50" s="1" t="s">
        <v>494</v>
      </c>
      <c r="J50" s="2" t="s">
        <v>316</v>
      </c>
      <c r="K50" s="1" t="s">
        <v>338</v>
      </c>
      <c r="L50" s="1" t="s">
        <v>366</v>
      </c>
      <c r="M50" s="1" t="s">
        <v>366</v>
      </c>
      <c r="N50" s="1" t="s">
        <v>342</v>
      </c>
      <c r="O50" s="1" t="s">
        <v>320</v>
      </c>
      <c r="P50" s="1" t="s">
        <v>321</v>
      </c>
      <c r="Q50" s="1" t="s">
        <v>316</v>
      </c>
      <c r="R50" s="1" t="s">
        <v>316</v>
      </c>
    </row>
    <row r="51" spans="1:18" x14ac:dyDescent="0.25">
      <c r="A51" s="1" t="s">
        <v>496</v>
      </c>
      <c r="B51" s="1" t="s">
        <v>308</v>
      </c>
      <c r="C51" s="2" t="s">
        <v>309</v>
      </c>
      <c r="D51" s="1" t="s">
        <v>309</v>
      </c>
      <c r="E51" s="1" t="s">
        <v>495</v>
      </c>
      <c r="F51" s="1" t="s">
        <v>311</v>
      </c>
      <c r="G51" s="1" t="s">
        <v>312</v>
      </c>
      <c r="H51" s="1" t="s">
        <v>243</v>
      </c>
      <c r="I51" s="1" t="s">
        <v>497</v>
      </c>
      <c r="J51" s="2" t="s">
        <v>316</v>
      </c>
      <c r="K51" s="1" t="s">
        <v>325</v>
      </c>
      <c r="L51" s="1" t="s">
        <v>498</v>
      </c>
      <c r="M51" s="1" t="s">
        <v>498</v>
      </c>
      <c r="N51" s="1" t="s">
        <v>327</v>
      </c>
      <c r="O51" s="1" t="s">
        <v>320</v>
      </c>
      <c r="P51" s="1" t="s">
        <v>321</v>
      </c>
      <c r="Q51" s="1" t="s">
        <v>316</v>
      </c>
      <c r="R51" s="1" t="s">
        <v>316</v>
      </c>
    </row>
    <row r="52" spans="1:18" x14ac:dyDescent="0.25">
      <c r="A52" s="1" t="s">
        <v>500</v>
      </c>
      <c r="B52" s="1" t="s">
        <v>308</v>
      </c>
      <c r="C52" s="2" t="s">
        <v>309</v>
      </c>
      <c r="D52" s="1" t="s">
        <v>309</v>
      </c>
      <c r="E52" s="1" t="s">
        <v>499</v>
      </c>
      <c r="F52" s="1" t="s">
        <v>311</v>
      </c>
      <c r="G52" s="1" t="s">
        <v>312</v>
      </c>
      <c r="H52" s="1" t="s">
        <v>247</v>
      </c>
      <c r="I52" s="1" t="s">
        <v>501</v>
      </c>
      <c r="J52" s="2" t="s">
        <v>316</v>
      </c>
      <c r="K52" s="1" t="s">
        <v>346</v>
      </c>
      <c r="L52" s="1" t="s">
        <v>502</v>
      </c>
      <c r="M52" s="1" t="s">
        <v>502</v>
      </c>
      <c r="N52" s="1" t="s">
        <v>348</v>
      </c>
      <c r="O52" s="1" t="s">
        <v>320</v>
      </c>
      <c r="P52" s="1" t="s">
        <v>321</v>
      </c>
      <c r="Q52" s="1" t="s">
        <v>316</v>
      </c>
      <c r="R52" s="1" t="s">
        <v>316</v>
      </c>
    </row>
    <row r="53" spans="1:18" x14ac:dyDescent="0.25">
      <c r="A53" s="1" t="s">
        <v>504</v>
      </c>
      <c r="B53" s="1" t="s">
        <v>308</v>
      </c>
      <c r="C53" s="2" t="s">
        <v>309</v>
      </c>
      <c r="D53" s="1" t="s">
        <v>309</v>
      </c>
      <c r="E53" s="1" t="s">
        <v>503</v>
      </c>
      <c r="F53" s="1" t="s">
        <v>311</v>
      </c>
      <c r="G53" s="1" t="s">
        <v>312</v>
      </c>
      <c r="H53" s="1" t="s">
        <v>251</v>
      </c>
      <c r="I53" s="1" t="s">
        <v>505</v>
      </c>
      <c r="J53" s="2" t="s">
        <v>316</v>
      </c>
      <c r="K53" s="1" t="s">
        <v>346</v>
      </c>
      <c r="L53" s="1" t="s">
        <v>506</v>
      </c>
      <c r="M53" s="1" t="s">
        <v>506</v>
      </c>
      <c r="N53" s="1" t="s">
        <v>348</v>
      </c>
      <c r="O53" s="1" t="s">
        <v>320</v>
      </c>
      <c r="P53" s="1" t="s">
        <v>321</v>
      </c>
      <c r="Q53" s="1" t="s">
        <v>316</v>
      </c>
      <c r="R53" s="1" t="s">
        <v>316</v>
      </c>
    </row>
    <row r="54" spans="1:18" x14ac:dyDescent="0.25">
      <c r="A54" s="1" t="s">
        <v>253</v>
      </c>
      <c r="B54" s="1" t="s">
        <v>308</v>
      </c>
      <c r="C54" s="2" t="s">
        <v>309</v>
      </c>
      <c r="D54" s="1" t="s">
        <v>309</v>
      </c>
      <c r="E54" s="1" t="s">
        <v>507</v>
      </c>
      <c r="F54" s="1" t="s">
        <v>311</v>
      </c>
      <c r="G54" s="1" t="s">
        <v>312</v>
      </c>
      <c r="H54" s="1" t="s">
        <v>255</v>
      </c>
      <c r="I54" s="1" t="s">
        <v>508</v>
      </c>
      <c r="J54" s="2" t="s">
        <v>316</v>
      </c>
      <c r="K54" s="1" t="s">
        <v>338</v>
      </c>
      <c r="L54" s="1" t="s">
        <v>509</v>
      </c>
      <c r="M54" s="1" t="s">
        <v>509</v>
      </c>
      <c r="N54" s="1" t="s">
        <v>342</v>
      </c>
      <c r="O54" s="1" t="s">
        <v>320</v>
      </c>
      <c r="P54" s="1" t="s">
        <v>321</v>
      </c>
      <c r="Q54" s="1" t="s">
        <v>316</v>
      </c>
      <c r="R54" s="1" t="s">
        <v>316</v>
      </c>
    </row>
    <row r="55" spans="1:18" x14ac:dyDescent="0.25">
      <c r="A55" s="1" t="s">
        <v>257</v>
      </c>
      <c r="B55" s="1" t="s">
        <v>308</v>
      </c>
      <c r="C55" s="2" t="s">
        <v>309</v>
      </c>
      <c r="D55" s="1" t="s">
        <v>309</v>
      </c>
      <c r="E55" s="1" t="s">
        <v>510</v>
      </c>
      <c r="F55" s="1" t="s">
        <v>311</v>
      </c>
      <c r="G55" s="1" t="s">
        <v>312</v>
      </c>
      <c r="H55" s="1" t="s">
        <v>260</v>
      </c>
      <c r="I55" s="1" t="s">
        <v>511</v>
      </c>
      <c r="J55" s="2" t="s">
        <v>316</v>
      </c>
      <c r="K55" s="1" t="s">
        <v>338</v>
      </c>
      <c r="L55" s="1" t="s">
        <v>512</v>
      </c>
      <c r="M55" s="1" t="s">
        <v>512</v>
      </c>
      <c r="N55" s="1" t="s">
        <v>342</v>
      </c>
      <c r="O55" s="1" t="s">
        <v>320</v>
      </c>
      <c r="P55" s="1" t="s">
        <v>321</v>
      </c>
      <c r="Q55" s="1" t="s">
        <v>316</v>
      </c>
      <c r="R55" s="1" t="s">
        <v>316</v>
      </c>
    </row>
    <row r="56" spans="1:18" x14ac:dyDescent="0.25">
      <c r="A56" s="1" t="s">
        <v>514</v>
      </c>
      <c r="B56" s="1" t="s">
        <v>308</v>
      </c>
      <c r="C56" s="2" t="s">
        <v>309</v>
      </c>
      <c r="D56" s="1" t="s">
        <v>309</v>
      </c>
      <c r="E56" s="1" t="s">
        <v>513</v>
      </c>
      <c r="F56" s="1" t="s">
        <v>311</v>
      </c>
      <c r="G56" s="1" t="s">
        <v>312</v>
      </c>
      <c r="H56" s="1" t="s">
        <v>265</v>
      </c>
      <c r="I56" s="1" t="s">
        <v>515</v>
      </c>
      <c r="J56" s="2" t="s">
        <v>316</v>
      </c>
      <c r="K56" s="1" t="s">
        <v>338</v>
      </c>
      <c r="L56" s="1" t="s">
        <v>516</v>
      </c>
      <c r="M56" s="1" t="s">
        <v>516</v>
      </c>
      <c r="N56" s="1" t="s">
        <v>342</v>
      </c>
      <c r="O56" s="1" t="s">
        <v>320</v>
      </c>
      <c r="P56" s="1" t="s">
        <v>321</v>
      </c>
      <c r="Q56" s="1" t="s">
        <v>316</v>
      </c>
      <c r="R56" s="1" t="s">
        <v>316</v>
      </c>
    </row>
    <row r="57" spans="1:18" x14ac:dyDescent="0.25">
      <c r="A57" s="1" t="s">
        <v>518</v>
      </c>
      <c r="B57" s="1" t="s">
        <v>308</v>
      </c>
      <c r="C57" s="2" t="s">
        <v>309</v>
      </c>
      <c r="D57" s="1" t="s">
        <v>309</v>
      </c>
      <c r="E57" s="1" t="s">
        <v>517</v>
      </c>
      <c r="F57" s="1" t="s">
        <v>311</v>
      </c>
      <c r="G57" s="1" t="s">
        <v>312</v>
      </c>
      <c r="H57" s="1" t="s">
        <v>269</v>
      </c>
      <c r="I57" s="1" t="s">
        <v>519</v>
      </c>
      <c r="J57" s="2" t="s">
        <v>316</v>
      </c>
      <c r="K57" s="1" t="s">
        <v>338</v>
      </c>
      <c r="L57" s="1" t="s">
        <v>382</v>
      </c>
      <c r="M57" s="1" t="s">
        <v>382</v>
      </c>
      <c r="N57" s="1" t="s">
        <v>342</v>
      </c>
      <c r="O57" s="1" t="s">
        <v>320</v>
      </c>
      <c r="P57" s="1" t="s">
        <v>321</v>
      </c>
      <c r="Q57" s="1" t="s">
        <v>316</v>
      </c>
      <c r="R57" s="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diseqc_cntrl_bom</vt:lpstr>
      <vt:lpstr>Stock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Price</cp:lastModifiedBy>
  <cp:lastPrinted>2026-02-11T16:56:18Z</cp:lastPrinted>
  <dcterms:created xsi:type="dcterms:W3CDTF">2026-02-11T18:02:21Z</dcterms:created>
  <dcterms:modified xsi:type="dcterms:W3CDTF">2026-02-11T18:22:42Z</dcterms:modified>
</cp:coreProperties>
</file>